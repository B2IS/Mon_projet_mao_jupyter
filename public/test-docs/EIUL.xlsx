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maodosene/Desktop/BEST/Kickoff_meeting/BEST-Contrats-Localités et traces finaux du BEST_18012024/EIUL-Lot 3/"/>
    </mc:Choice>
  </mc:AlternateContent>
  <xr:revisionPtr revIDLastSave="0" documentId="13_ncr:1_{FF57FFB1-4509-BB41-8D4C-C136AE5B5308}" xr6:coauthVersionLast="47" xr6:coauthVersionMax="47" xr10:uidLastSave="{00000000-0000-0000-0000-000000000000}"/>
  <bookViews>
    <workbookView xWindow="4340" yWindow="760" windowWidth="30220" windowHeight="20380" firstSheet="1" activeTab="1" xr2:uid="{00000000-000D-0000-FFFF-FFFF00000000}"/>
  </bookViews>
  <sheets>
    <sheet name="RECAP" sheetId="3" r:id="rId1"/>
    <sheet name="LOT3-BEST" sheetId="1" r:id="rId2"/>
    <sheet name="LOT2-BEST" sheetId="2" state="hidden" r:id="rId3"/>
  </sheets>
  <definedNames>
    <definedName name="_xlnm.Print_Area" localSheetId="2">'LOT2-BEST'!$A$1:$O$43</definedName>
    <definedName name="_xlnm.Print_Area" localSheetId="1">'LOT3-BEST'!$A$1:$O$53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5" i="1" l="1"/>
  <c r="H44" i="1"/>
  <c r="F37" i="1"/>
  <c r="G38" i="1"/>
  <c r="G33" i="1"/>
  <c r="G34" i="1"/>
  <c r="G35" i="1"/>
  <c r="F31" i="1"/>
  <c r="F32" i="1"/>
  <c r="F33" i="1"/>
  <c r="F34" i="1"/>
  <c r="F35" i="1"/>
  <c r="H31" i="1"/>
  <c r="H32" i="1"/>
  <c r="H33" i="1"/>
  <c r="H35" i="1"/>
  <c r="I34" i="1"/>
  <c r="I35" i="1"/>
  <c r="I36" i="1"/>
  <c r="G32" i="1"/>
  <c r="I32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C14" i="1"/>
  <c r="B13" i="1"/>
  <c r="E16" i="1"/>
  <c r="D15" i="1"/>
  <c r="C9" i="1"/>
  <c r="H30" i="1"/>
  <c r="F30" i="1"/>
  <c r="H27" i="1"/>
  <c r="H28" i="1"/>
  <c r="H29" i="1"/>
  <c r="F27" i="1"/>
  <c r="F28" i="1"/>
  <c r="F29" i="1"/>
  <c r="H25" i="1" l="1"/>
  <c r="F25" i="1"/>
  <c r="H26" i="1"/>
  <c r="F26" i="1"/>
  <c r="F24" i="1"/>
  <c r="H24" i="1"/>
  <c r="H23" i="1"/>
  <c r="F23" i="1"/>
  <c r="H22" i="1"/>
  <c r="H21" i="1"/>
  <c r="F21" i="1"/>
  <c r="F22" i="1"/>
  <c r="F20" i="1"/>
  <c r="H20" i="1"/>
  <c r="H19" i="1"/>
  <c r="F19" i="1"/>
  <c r="H17" i="1"/>
  <c r="I18" i="1"/>
  <c r="F17" i="1"/>
  <c r="G18" i="1"/>
  <c r="G17" i="2" l="1"/>
  <c r="I17" i="2"/>
  <c r="L17" i="2"/>
  <c r="F18" i="2"/>
  <c r="H18" i="2"/>
  <c r="G19" i="2"/>
  <c r="I19" i="2"/>
  <c r="L19" i="2"/>
  <c r="F20" i="2"/>
  <c r="H20" i="2"/>
  <c r="G21" i="2"/>
  <c r="I21" i="2"/>
  <c r="L21" i="2"/>
  <c r="F22" i="2"/>
  <c r="H22" i="2"/>
  <c r="L17" i="1"/>
  <c r="C14" i="2" l="1"/>
  <c r="E16" i="2" s="1"/>
  <c r="I36" i="2" s="1"/>
  <c r="B13" i="2"/>
  <c r="D15" i="2" s="1"/>
  <c r="F15" i="2" s="1"/>
  <c r="F28" i="2" s="1"/>
  <c r="C9" i="2"/>
  <c r="G16" i="1" l="1"/>
  <c r="F15" i="1"/>
  <c r="F33" i="2"/>
  <c r="F30" i="2"/>
  <c r="G16" i="2"/>
  <c r="G29" i="2" s="1"/>
  <c r="H35" i="2"/>
  <c r="G40" i="1" l="1"/>
  <c r="G34" i="2"/>
  <c r="G31" i="2"/>
  <c r="F32" i="2"/>
  <c r="F42" i="1"/>
  <c r="F39" i="1"/>
  <c r="G43" i="1" l="1"/>
  <c r="F41" i="1"/>
  <c r="C10" i="3" s="1"/>
  <c r="C11" i="3" s="1"/>
  <c r="D10" i="3"/>
  <c r="D11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Moussa Mbaye THIAM</author>
  </authors>
  <commentList>
    <comment ref="G18" authorId="0" shapeId="0" xr:uid="{43A2F247-95FF-4B73-8319-DFFD77F96481}">
      <text>
        <r>
          <rPr>
            <b/>
            <sz val="9"/>
            <color rgb="FF000000"/>
            <rFont val="Tahoma"/>
            <family val="2"/>
          </rPr>
          <t>Moussa Mbaye THIAM: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75% de lattachement selon les modalités de paiement</t>
        </r>
      </text>
    </comment>
    <comment ref="I18" authorId="0" shapeId="0" xr:uid="{D5BA8C2C-7756-481D-8367-73BB52CD596B}">
      <text>
        <r>
          <rPr>
            <b/>
            <sz val="9"/>
            <color rgb="FF000000"/>
            <rFont val="Tahoma"/>
            <family val="2"/>
          </rPr>
          <t>Moussa Mbaye THIAM: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Remboursement de 25% suivant l'attachement 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Maodo SENE</author>
  </authors>
  <commentList>
    <comment ref="G17" authorId="0" shapeId="0" xr:uid="{A75DE121-B16D-8F40-92B2-B81EB731C7D2}">
      <text>
        <r>
          <rPr>
            <b/>
            <sz val="10"/>
            <color rgb="FF000000"/>
            <rFont val="Tahoma"/>
            <family val="2"/>
          </rPr>
          <t>Maodo SENE: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65% de lattachement selon les modalités de paiement
</t>
        </r>
      </text>
    </comment>
    <comment ref="I17" authorId="0" shapeId="0" xr:uid="{2E292E5C-3363-FA4A-83A6-1C16E2DF0344}">
      <text>
        <r>
          <rPr>
            <b/>
            <sz val="10"/>
            <color rgb="FF000000"/>
            <rFont val="Tahoma"/>
            <family val="2"/>
          </rPr>
          <t>Maodo SENE: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Remboursement de 25% suivant l'attachement 
</t>
        </r>
      </text>
    </comment>
  </commentList>
</comments>
</file>

<file path=xl/sharedStrings.xml><?xml version="1.0" encoding="utf-8"?>
<sst xmlns="http://schemas.openxmlformats.org/spreadsheetml/2006/main" count="148" uniqueCount="89">
  <si>
    <t>DER/DPD/MMT</t>
  </si>
  <si>
    <t>N° Contrat :</t>
  </si>
  <si>
    <t>NG-ECOWAS-DEM-315397-CW-RFB</t>
  </si>
  <si>
    <t xml:space="preserve">Entreprise : </t>
  </si>
  <si>
    <t>EAST INDIA UDYOG LIMITED</t>
  </si>
  <si>
    <t xml:space="preserve">Objet : </t>
  </si>
  <si>
    <t>BEST-Lot 3</t>
  </si>
  <si>
    <t xml:space="preserve">Taux Dollars : </t>
  </si>
  <si>
    <t>NB: Taux BCEAO à l'attribution</t>
  </si>
  <si>
    <t>LOTS</t>
  </si>
  <si>
    <t>FACTURE</t>
  </si>
  <si>
    <t>RESTE A FAIRE</t>
  </si>
  <si>
    <t>Lot 3</t>
  </si>
  <si>
    <t>Total</t>
  </si>
  <si>
    <t>BEST-Lot 3 (284 Localités) : Réseaux de distribution des postes des Régions de KEDOUGOU, TAMBACOUNDA ET KAOLACK</t>
  </si>
  <si>
    <t>Part etrangère:</t>
  </si>
  <si>
    <t>Part locale:</t>
  </si>
  <si>
    <t>Montant :</t>
  </si>
  <si>
    <t>Budget HTVA</t>
  </si>
  <si>
    <t>Attachement HTVA</t>
  </si>
  <si>
    <t>Sommes Factures HTVA</t>
  </si>
  <si>
    <t>Restitution Accompte 25% HTVA</t>
  </si>
  <si>
    <t>RG HTVA</t>
  </si>
  <si>
    <t>TVA</t>
  </si>
  <si>
    <t>N° Facture</t>
  </si>
  <si>
    <t>Date de certification</t>
  </si>
  <si>
    <t>Commentaires</t>
  </si>
  <si>
    <t>#</t>
  </si>
  <si>
    <t>ETRANGERE($)</t>
  </si>
  <si>
    <t>LOCALE(XOF)</t>
  </si>
  <si>
    <t>EIUL/SEN/ADV/USD/23-24/001</t>
  </si>
  <si>
    <t>Paiement avance de démarrage (25% du montant du contrat)</t>
  </si>
  <si>
    <t>EIUL/SEN/ADV/F CFA/23-24/001</t>
  </si>
  <si>
    <t xml:space="preserve">Paiement (50%)Etude de conception </t>
  </si>
  <si>
    <t>EIUL/SEN/DESIGN &amp; SERVICES/F CFA/24-25/D&amp;S 001</t>
  </si>
  <si>
    <t>Décaissement (PART ETRANGERE &amp; LOCALE)</t>
  </si>
  <si>
    <t>% décaissement</t>
  </si>
  <si>
    <t>Total décaissement (C CFA)</t>
  </si>
  <si>
    <t>Reliquat décaissement (PART ETRANGERE &amp; LOCALE)</t>
  </si>
  <si>
    <t>Reliquat Restitution Accompte 25%</t>
  </si>
  <si>
    <t>SIGNATURE ET CACHET</t>
  </si>
  <si>
    <t>DER/DPD/MS</t>
  </si>
  <si>
    <t>TBEA Co, LTD.</t>
  </si>
  <si>
    <t>BEST  Lot 2 (308 Localités) : Lot 2 : réseaux de distribution des postes de la Région de Kolda excepté le département de 
Médina Yoro Foulah</t>
  </si>
  <si>
    <t xml:space="preserve">TVA </t>
  </si>
  <si>
    <t>N° TBEA-LOT2-2024-2</t>
  </si>
  <si>
    <t>N° TBEA-LOT2-2024-1</t>
  </si>
  <si>
    <t>N° TBEA-LOT2-2024-3</t>
  </si>
  <si>
    <t xml:space="preserve">Paiement Etude de conception </t>
  </si>
  <si>
    <t>N° TBEA-LOT2-2024-4</t>
  </si>
  <si>
    <t>Paiement Quantité FAT 1</t>
  </si>
  <si>
    <t>N° TBEA-LOT2-2024-05</t>
  </si>
  <si>
    <t>Paiement Fourniture poteaux et etudes</t>
  </si>
  <si>
    <t>N° TBEA-LOT2-2024-06</t>
  </si>
  <si>
    <t>Paiement Quantité FAT 2</t>
  </si>
  <si>
    <t>Paiement BOQ2</t>
  </si>
  <si>
    <t>Paiement BOQ1</t>
  </si>
  <si>
    <t>EIUL/LOT3/003</t>
  </si>
  <si>
    <t>Paiement Bordereau N1-Materiel d'origine etrangere (transfo Nexans)</t>
  </si>
  <si>
    <t xml:space="preserve"> Paiement Bordereau N1-Materiel d'origine etrangere (cables oswal ) </t>
  </si>
  <si>
    <t>EIUL/LOT3/002</t>
  </si>
  <si>
    <t>EIUL/LOT3/005</t>
  </si>
  <si>
    <t xml:space="preserve"> Paiement Bordereau N1-Materiel d'origine etrangere (Compteurs, Disj de Branch, Coffret EP complet) </t>
  </si>
  <si>
    <t>EIUL/LOT3/004</t>
  </si>
  <si>
    <t xml:space="preserve"> Paiement Bordereau N1-Materiel d'origine etrangere (Conducteurs almélec) </t>
  </si>
  <si>
    <t>EIUL/LOT3/006</t>
  </si>
  <si>
    <t xml:space="preserve"> Paiement Bordereau N1-Materiel d'origine etrangere (armements, MALT, autres  ) </t>
  </si>
  <si>
    <t>EIUL/LOT3/007</t>
  </si>
  <si>
    <t xml:space="preserve">Paiement Bordereau N1-Materiel d'origine etrangere (DHP, Lanternes, Coffret EP) </t>
  </si>
  <si>
    <t xml:space="preserve">Paiement Bordereau N1-Materiel d'origine etrangere (conducteurs, armement,...) </t>
  </si>
  <si>
    <t>EIUL/LOT3/008</t>
  </si>
  <si>
    <t>EIUL/LOT3/009</t>
  </si>
  <si>
    <t>EIUL/LOT3/010</t>
  </si>
  <si>
    <t xml:space="preserve">Paiement Bordereau N1-Materiel d'origine etrangere (conducteurs, compteurs,...) </t>
  </si>
  <si>
    <t>EIUL/LOT3/011</t>
  </si>
  <si>
    <t>EIUL/LOT3/012</t>
  </si>
  <si>
    <t>EIUL/LOT3/013</t>
  </si>
  <si>
    <t xml:space="preserve">Paiement Bordereau N1-Materiel d'origine etrangere (potelet) </t>
  </si>
  <si>
    <t>notification affermissement tranche conditionnelle effective</t>
  </si>
  <si>
    <t>EIUL/LOT3/016</t>
  </si>
  <si>
    <t>Paiement BOQ N3 (75% phase APD)</t>
  </si>
  <si>
    <t>EIUL/LOT3/014</t>
  </si>
  <si>
    <t xml:space="preserve">Paiement BOQ N2, poteaux beton </t>
  </si>
  <si>
    <t>EIUL/SEN/ADV/F CFA/26-27/002</t>
  </si>
  <si>
    <t>EIUL/SEN/ADV/USD/23-24/002</t>
  </si>
  <si>
    <t>Accompte de 25% suite affermissement tranche conditionnelle - part locale</t>
  </si>
  <si>
    <t xml:space="preserve">Accompte de 25% suite affermissement tranche conditionnelle - part etrangere </t>
  </si>
  <si>
    <t>EIUL/LOT3/015</t>
  </si>
  <si>
    <t>Decompte BOQ4 -Entrepot (60%)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</si>
</sst>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_ * #,##0.00_)\ _C_F_A_ ;_ * \(#,##0.00\)\ _C_F_A_ ;_ * &quot;-&quot;??_)\ _C_F_A_ ;_ @_ "/>
    <numFmt numFmtId="166" formatCode="_-* #,##0_-;\-* #,##0_-;_-* &quot;-&quot;??_-;_-@_-"/>
    <numFmt numFmtId="167" formatCode="_-* #,##0\ _€_-;\-* #,##0\ _€_-;_-* &quot;-&quot;??\ _€_-;_-@_-"/>
    <numFmt numFmtId="168" formatCode="_(* #,##0.00_);_(* \(#,##0.00\);_(* &quot;-&quot;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Verdana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Verdana"/>
      <family val="2"/>
    </font>
    <font>
      <b/>
      <sz val="12"/>
      <color theme="1"/>
      <name val="Verdana"/>
      <family val="2"/>
    </font>
    <font>
      <sz val="12"/>
      <color theme="1"/>
      <name val="Verdana"/>
      <family val="2"/>
    </font>
    <font>
      <b/>
      <u/>
      <sz val="12"/>
      <color theme="1"/>
      <name val="Verdana"/>
      <family val="2"/>
    </font>
    <font>
      <b/>
      <sz val="14"/>
      <color theme="1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6"/>
      <color theme="1"/>
      <name val="Verdana"/>
      <family val="2"/>
    </font>
    <font>
      <sz val="10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90">
    <xf numFmtId="0" fontId="0" fillId="0" borderId="0" xfId="0"/>
    <xf numFmtId="0" fontId="2" fillId="0" borderId="0" xfId="0" applyFont="1" applyAlignment="1">
      <alignment vertical="top"/>
    </xf>
    <xf numFmtId="0" fontId="5" fillId="0" borderId="6" xfId="0" applyFont="1" applyBorder="1" applyAlignment="1">
      <alignment horizontal="right" vertical="top"/>
    </xf>
    <xf numFmtId="0" fontId="5" fillId="0" borderId="7" xfId="0" applyFont="1" applyBorder="1" applyAlignment="1">
      <alignment horizontal="right" vertical="top"/>
    </xf>
    <xf numFmtId="1" fontId="7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7" fillId="0" borderId="0" xfId="1" applyNumberFormat="1" applyFont="1" applyAlignment="1">
      <alignment horizontal="right" vertical="top"/>
    </xf>
    <xf numFmtId="0" fontId="7" fillId="0" borderId="0" xfId="0" applyFont="1" applyAlignment="1">
      <alignment vertical="top" wrapText="1"/>
    </xf>
    <xf numFmtId="0" fontId="7" fillId="0" borderId="0" xfId="0" applyFont="1"/>
    <xf numFmtId="1" fontId="6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166" fontId="7" fillId="0" borderId="0" xfId="1" applyNumberFormat="1" applyFont="1" applyAlignment="1">
      <alignment vertical="top"/>
    </xf>
    <xf numFmtId="1" fontId="7" fillId="0" borderId="1" xfId="0" applyNumberFormat="1" applyFont="1" applyBorder="1" applyAlignment="1">
      <alignment horizontal="left" vertical="top"/>
    </xf>
    <xf numFmtId="0" fontId="7" fillId="0" borderId="0" xfId="0" applyFont="1" applyAlignment="1">
      <alignment horizontal="left" vertical="top"/>
    </xf>
    <xf numFmtId="1" fontId="7" fillId="0" borderId="1" xfId="0" applyNumberFormat="1" applyFont="1" applyBorder="1" applyAlignment="1">
      <alignment horizontal="right" vertical="top"/>
    </xf>
    <xf numFmtId="0" fontId="7" fillId="0" borderId="0" xfId="0" applyFont="1" applyAlignment="1">
      <alignment horizontal="right" vertical="top"/>
    </xf>
    <xf numFmtId="164" fontId="7" fillId="0" borderId="7" xfId="1" applyFont="1" applyBorder="1" applyAlignment="1">
      <alignment vertical="top"/>
    </xf>
    <xf numFmtId="164" fontId="7" fillId="0" borderId="6" xfId="1" applyFont="1" applyBorder="1" applyAlignment="1">
      <alignment vertical="top"/>
    </xf>
    <xf numFmtId="0" fontId="7" fillId="0" borderId="11" xfId="1" applyNumberFormat="1" applyFont="1" applyBorder="1" applyAlignment="1">
      <alignment horizontal="right" vertical="top"/>
    </xf>
    <xf numFmtId="164" fontId="7" fillId="0" borderId="11" xfId="1" applyFont="1" applyBorder="1" applyAlignment="1">
      <alignment vertical="top"/>
    </xf>
    <xf numFmtId="164" fontId="7" fillId="0" borderId="11" xfId="1" applyFont="1" applyBorder="1" applyAlignment="1">
      <alignment vertical="top" wrapText="1"/>
    </xf>
    <xf numFmtId="164" fontId="7" fillId="0" borderId="0" xfId="1" applyFont="1"/>
    <xf numFmtId="14" fontId="7" fillId="0" borderId="11" xfId="1" applyNumberFormat="1" applyFont="1" applyBorder="1" applyAlignment="1">
      <alignment vertical="top"/>
    </xf>
    <xf numFmtId="0" fontId="7" fillId="0" borderId="6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1" fontId="7" fillId="0" borderId="1" xfId="0" applyNumberFormat="1" applyFont="1" applyBorder="1" applyAlignment="1">
      <alignment vertical="top"/>
    </xf>
    <xf numFmtId="0" fontId="7" fillId="0" borderId="8" xfId="0" applyFont="1" applyBorder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2" xfId="1" applyNumberFormat="1" applyFont="1" applyBorder="1" applyAlignment="1">
      <alignment horizontal="right" vertical="top"/>
    </xf>
    <xf numFmtId="0" fontId="7" fillId="0" borderId="12" xfId="0" applyFont="1" applyBorder="1" applyAlignment="1">
      <alignment vertical="top"/>
    </xf>
    <xf numFmtId="0" fontId="7" fillId="0" borderId="12" xfId="0" applyFont="1" applyBorder="1" applyAlignment="1">
      <alignment vertical="top" wrapText="1"/>
    </xf>
    <xf numFmtId="0" fontId="8" fillId="0" borderId="0" xfId="0" applyFont="1" applyAlignment="1">
      <alignment vertical="top"/>
    </xf>
    <xf numFmtId="165" fontId="7" fillId="0" borderId="0" xfId="0" applyNumberFormat="1" applyFont="1" applyAlignment="1">
      <alignment vertical="top"/>
    </xf>
    <xf numFmtId="166" fontId="7" fillId="2" borderId="6" xfId="1" applyNumberFormat="1" applyFont="1" applyFill="1" applyBorder="1" applyAlignment="1">
      <alignment vertical="top"/>
    </xf>
    <xf numFmtId="166" fontId="7" fillId="0" borderId="7" xfId="1" applyNumberFormat="1" applyFont="1" applyBorder="1" applyAlignment="1">
      <alignment vertical="top"/>
    </xf>
    <xf numFmtId="166" fontId="7" fillId="0" borderId="6" xfId="1" applyNumberFormat="1" applyFont="1" applyBorder="1" applyAlignment="1">
      <alignment vertical="top"/>
    </xf>
    <xf numFmtId="166" fontId="7" fillId="0" borderId="6" xfId="1" applyNumberFormat="1" applyFont="1" applyFill="1" applyBorder="1" applyAlignment="1">
      <alignment vertical="top"/>
    </xf>
    <xf numFmtId="166" fontId="7" fillId="0" borderId="7" xfId="1" applyNumberFormat="1" applyFont="1" applyFill="1" applyBorder="1" applyAlignment="1">
      <alignment vertical="top"/>
    </xf>
    <xf numFmtId="167" fontId="7" fillId="0" borderId="13" xfId="0" applyNumberFormat="1" applyFont="1" applyBorder="1" applyAlignment="1">
      <alignment horizontal="right" vertical="top"/>
    </xf>
    <xf numFmtId="167" fontId="7" fillId="0" borderId="5" xfId="0" applyNumberFormat="1" applyFont="1" applyBorder="1" applyAlignment="1">
      <alignment vertical="top"/>
    </xf>
    <xf numFmtId="167" fontId="7" fillId="0" borderId="0" xfId="0" applyNumberFormat="1" applyFont="1" applyAlignment="1">
      <alignment vertical="top"/>
    </xf>
    <xf numFmtId="167" fontId="7" fillId="0" borderId="2" xfId="0" applyNumberFormat="1" applyFont="1" applyBorder="1" applyAlignment="1">
      <alignment vertical="top"/>
    </xf>
    <xf numFmtId="167" fontId="7" fillId="0" borderId="21" xfId="0" applyNumberFormat="1" applyFont="1" applyBorder="1" applyAlignment="1">
      <alignment vertical="top"/>
    </xf>
    <xf numFmtId="167" fontId="7" fillId="0" borderId="13" xfId="0" applyNumberFormat="1" applyFont="1" applyBorder="1" applyAlignment="1">
      <alignment vertical="top"/>
    </xf>
    <xf numFmtId="167" fontId="7" fillId="0" borderId="14" xfId="0" applyNumberFormat="1" applyFont="1" applyBorder="1" applyAlignment="1">
      <alignment vertical="top"/>
    </xf>
    <xf numFmtId="167" fontId="7" fillId="0" borderId="9" xfId="0" applyNumberFormat="1" applyFont="1" applyBorder="1" applyAlignment="1">
      <alignment vertical="top"/>
    </xf>
    <xf numFmtId="9" fontId="7" fillId="0" borderId="13" xfId="2" applyFont="1" applyBorder="1" applyAlignment="1">
      <alignment horizontal="left" vertical="top"/>
    </xf>
    <xf numFmtId="0" fontId="7" fillId="0" borderId="5" xfId="0" applyFont="1" applyBorder="1" applyAlignment="1">
      <alignment horizontal="left" vertical="top"/>
    </xf>
    <xf numFmtId="9" fontId="7" fillId="0" borderId="14" xfId="2" applyFont="1" applyBorder="1" applyAlignment="1">
      <alignment horizontal="left" vertical="top"/>
    </xf>
    <xf numFmtId="9" fontId="7" fillId="0" borderId="9" xfId="2" applyFont="1" applyBorder="1" applyAlignment="1">
      <alignment horizontal="left" vertical="top"/>
    </xf>
    <xf numFmtId="167" fontId="7" fillId="0" borderId="13" xfId="0" applyNumberFormat="1" applyFont="1" applyBorder="1" applyAlignment="1">
      <alignment horizontal="left" vertical="top"/>
    </xf>
    <xf numFmtId="167" fontId="7" fillId="0" borderId="5" xfId="0" applyNumberFormat="1" applyFont="1" applyBorder="1" applyAlignment="1">
      <alignment horizontal="left" vertical="top"/>
    </xf>
    <xf numFmtId="167" fontId="7" fillId="0" borderId="2" xfId="0" applyNumberFormat="1" applyFont="1" applyBorder="1" applyAlignment="1">
      <alignment horizontal="left" vertical="top"/>
    </xf>
    <xf numFmtId="167" fontId="7" fillId="0" borderId="21" xfId="0" applyNumberFormat="1" applyFont="1" applyBorder="1" applyAlignment="1">
      <alignment horizontal="left" vertical="top"/>
    </xf>
    <xf numFmtId="0" fontId="0" fillId="0" borderId="22" xfId="0" applyBorder="1"/>
    <xf numFmtId="166" fontId="4" fillId="0" borderId="23" xfId="0" applyNumberFormat="1" applyFont="1" applyBorder="1"/>
    <xf numFmtId="166" fontId="4" fillId="0" borderId="19" xfId="0" applyNumberFormat="1" applyFont="1" applyBorder="1"/>
    <xf numFmtId="0" fontId="0" fillId="0" borderId="24" xfId="0" applyBorder="1" applyAlignment="1">
      <alignment horizontal="left"/>
    </xf>
    <xf numFmtId="166" fontId="0" fillId="0" borderId="3" xfId="1" applyNumberFormat="1" applyFont="1" applyBorder="1"/>
    <xf numFmtId="166" fontId="0" fillId="0" borderId="25" xfId="1" applyNumberFormat="1" applyFont="1" applyBorder="1"/>
    <xf numFmtId="1" fontId="6" fillId="0" borderId="15" xfId="0" applyNumberFormat="1" applyFont="1" applyBorder="1" applyAlignment="1">
      <alignment vertical="top"/>
    </xf>
    <xf numFmtId="0" fontId="6" fillId="0" borderId="16" xfId="0" applyFont="1" applyBorder="1" applyAlignment="1">
      <alignment vertical="top"/>
    </xf>
    <xf numFmtId="0" fontId="4" fillId="0" borderId="17" xfId="0" applyFont="1" applyBorder="1"/>
    <xf numFmtId="166" fontId="7" fillId="3" borderId="13" xfId="0" applyNumberFormat="1" applyFont="1" applyFill="1" applyBorder="1" applyAlignment="1">
      <alignment vertical="top"/>
    </xf>
    <xf numFmtId="166" fontId="7" fillId="0" borderId="5" xfId="0" applyNumberFormat="1" applyFont="1" applyBorder="1" applyAlignment="1">
      <alignment vertical="top"/>
    </xf>
    <xf numFmtId="166" fontId="7" fillId="0" borderId="14" xfId="0" applyNumberFormat="1" applyFont="1" applyBorder="1" applyAlignment="1">
      <alignment vertical="top"/>
    </xf>
    <xf numFmtId="166" fontId="7" fillId="3" borderId="9" xfId="0" applyNumberFormat="1" applyFont="1" applyFill="1" applyBorder="1" applyAlignment="1">
      <alignment vertical="top"/>
    </xf>
    <xf numFmtId="0" fontId="6" fillId="0" borderId="26" xfId="0" applyFont="1" applyBorder="1" applyAlignment="1">
      <alignment horizontal="left" vertical="top"/>
    </xf>
    <xf numFmtId="0" fontId="5" fillId="0" borderId="27" xfId="0" applyFont="1" applyBorder="1" applyAlignment="1">
      <alignment horizontal="right" vertical="top"/>
    </xf>
    <xf numFmtId="164" fontId="7" fillId="0" borderId="27" xfId="1" applyFont="1" applyBorder="1" applyAlignment="1">
      <alignment vertical="top"/>
    </xf>
    <xf numFmtId="0" fontId="7" fillId="0" borderId="28" xfId="0" applyFont="1" applyBorder="1" applyAlignment="1">
      <alignment vertical="top"/>
    </xf>
    <xf numFmtId="0" fontId="6" fillId="0" borderId="0" xfId="0" applyFont="1" applyAlignment="1">
      <alignment vertical="top" wrapText="1"/>
    </xf>
    <xf numFmtId="166" fontId="0" fillId="0" borderId="0" xfId="0" applyNumberFormat="1"/>
    <xf numFmtId="166" fontId="7" fillId="0" borderId="6" xfId="0" applyNumberFormat="1" applyFont="1" applyBorder="1" applyAlignment="1">
      <alignment vertical="top"/>
    </xf>
    <xf numFmtId="43" fontId="7" fillId="0" borderId="0" xfId="0" applyNumberFormat="1" applyFont="1" applyAlignment="1">
      <alignment vertical="top"/>
    </xf>
    <xf numFmtId="14" fontId="7" fillId="0" borderId="11" xfId="0" applyNumberFormat="1" applyFont="1" applyBorder="1" applyAlignment="1">
      <alignment vertical="top"/>
    </xf>
    <xf numFmtId="164" fontId="7" fillId="0" borderId="11" xfId="1" applyFont="1" applyBorder="1" applyAlignment="1">
      <alignment horizontal="left" wrapText="1"/>
    </xf>
    <xf numFmtId="0" fontId="7" fillId="0" borderId="11" xfId="0" applyFont="1" applyBorder="1" applyAlignment="1">
      <alignment horizontal="left" wrapText="1"/>
    </xf>
    <xf numFmtId="166" fontId="7" fillId="0" borderId="27" xfId="1" applyNumberFormat="1" applyFont="1" applyBorder="1" applyAlignment="1">
      <alignment vertical="top"/>
    </xf>
    <xf numFmtId="41" fontId="7" fillId="0" borderId="0" xfId="3" applyFont="1" applyAlignment="1">
      <alignment vertical="top"/>
    </xf>
    <xf numFmtId="166" fontId="6" fillId="0" borderId="6" xfId="1" applyNumberFormat="1" applyFont="1" applyFill="1" applyBorder="1" applyAlignment="1">
      <alignment vertical="top"/>
    </xf>
    <xf numFmtId="0" fontId="7" fillId="0" borderId="20" xfId="0" applyFont="1" applyBorder="1" applyAlignment="1">
      <alignment vertical="top"/>
    </xf>
    <xf numFmtId="0" fontId="7" fillId="0" borderId="21" xfId="0" applyFont="1" applyBorder="1" applyAlignment="1">
      <alignment vertical="top"/>
    </xf>
    <xf numFmtId="0" fontId="7" fillId="0" borderId="30" xfId="1" applyNumberFormat="1" applyFont="1" applyBorder="1" applyAlignment="1">
      <alignment horizontal="right" vertical="top"/>
    </xf>
    <xf numFmtId="14" fontId="7" fillId="0" borderId="30" xfId="0" applyNumberFormat="1" applyFont="1" applyBorder="1" applyAlignment="1">
      <alignment vertical="top"/>
    </xf>
    <xf numFmtId="0" fontId="7" fillId="0" borderId="30" xfId="0" applyFont="1" applyBorder="1" applyAlignment="1">
      <alignment horizontal="left" wrapText="1"/>
    </xf>
    <xf numFmtId="41" fontId="6" fillId="0" borderId="21" xfId="3" applyFont="1" applyBorder="1" applyAlignment="1">
      <alignment vertical="top"/>
    </xf>
    <xf numFmtId="166" fontId="7" fillId="0" borderId="7" xfId="0" applyNumberFormat="1" applyFont="1" applyBorder="1" applyAlignment="1">
      <alignment vertical="top"/>
    </xf>
    <xf numFmtId="166" fontId="7" fillId="0" borderId="8" xfId="0" applyNumberFormat="1" applyFont="1" applyBorder="1" applyAlignment="1">
      <alignment vertical="top"/>
    </xf>
    <xf numFmtId="166" fontId="7" fillId="0" borderId="11" xfId="1" applyNumberFormat="1" applyFont="1" applyBorder="1" applyAlignment="1">
      <alignment vertical="top"/>
    </xf>
    <xf numFmtId="166" fontId="7" fillId="0" borderId="1" xfId="1" applyNumberFormat="1" applyFont="1" applyBorder="1" applyAlignment="1">
      <alignment vertical="top"/>
    </xf>
    <xf numFmtId="0" fontId="7" fillId="0" borderId="1" xfId="0" applyFont="1" applyBorder="1" applyAlignment="1">
      <alignment vertical="top"/>
    </xf>
    <xf numFmtId="0" fontId="7" fillId="0" borderId="31" xfId="0" applyFont="1" applyBorder="1" applyAlignment="1">
      <alignment vertical="top"/>
    </xf>
    <xf numFmtId="0" fontId="7" fillId="0" borderId="32" xfId="0" applyFont="1" applyBorder="1" applyAlignment="1">
      <alignment vertical="top"/>
    </xf>
    <xf numFmtId="164" fontId="7" fillId="0" borderId="27" xfId="0" applyNumberFormat="1" applyFont="1" applyBorder="1" applyAlignment="1">
      <alignment vertical="top"/>
    </xf>
    <xf numFmtId="166" fontId="7" fillId="0" borderId="27" xfId="1" applyNumberFormat="1" applyFont="1" applyFill="1" applyBorder="1" applyAlignment="1">
      <alignment vertical="top"/>
    </xf>
    <xf numFmtId="0" fontId="7" fillId="0" borderId="27" xfId="0" applyFont="1" applyBorder="1" applyAlignment="1">
      <alignment vertical="top"/>
    </xf>
    <xf numFmtId="0" fontId="5" fillId="0" borderId="1" xfId="0" applyFont="1" applyBorder="1" applyAlignment="1">
      <alignment horizontal="right" vertical="top"/>
    </xf>
    <xf numFmtId="0" fontId="5" fillId="0" borderId="4" xfId="0" applyFont="1" applyBorder="1" applyAlignment="1">
      <alignment horizontal="right" vertical="top"/>
    </xf>
    <xf numFmtId="0" fontId="5" fillId="0" borderId="5" xfId="0" applyFont="1" applyBorder="1" applyAlignment="1">
      <alignment horizontal="right" vertical="top"/>
    </xf>
    <xf numFmtId="164" fontId="7" fillId="0" borderId="1" xfId="1" applyFont="1" applyBorder="1" applyAlignment="1">
      <alignment vertical="top"/>
    </xf>
    <xf numFmtId="166" fontId="7" fillId="2" borderId="1" xfId="1" applyNumberFormat="1" applyFont="1" applyFill="1" applyBorder="1" applyAlignment="1">
      <alignment vertical="top"/>
    </xf>
    <xf numFmtId="166" fontId="7" fillId="0" borderId="27" xfId="0" applyNumberFormat="1" applyFont="1" applyBorder="1" applyAlignment="1">
      <alignment vertical="top"/>
    </xf>
    <xf numFmtId="164" fontId="6" fillId="0" borderId="36" xfId="1" applyFont="1" applyFill="1" applyBorder="1" applyAlignment="1">
      <alignment vertical="top"/>
    </xf>
    <xf numFmtId="0" fontId="6" fillId="0" borderId="29" xfId="0" applyFont="1" applyBorder="1" applyAlignment="1">
      <alignment vertical="top"/>
    </xf>
    <xf numFmtId="166" fontId="6" fillId="0" borderId="20" xfId="0" applyNumberFormat="1" applyFont="1" applyBorder="1" applyAlignment="1">
      <alignment vertical="top"/>
    </xf>
    <xf numFmtId="166" fontId="6" fillId="0" borderId="21" xfId="0" applyNumberFormat="1" applyFont="1" applyBorder="1" applyAlignment="1">
      <alignment vertical="top"/>
    </xf>
    <xf numFmtId="166" fontId="6" fillId="0" borderId="36" xfId="1" applyNumberFormat="1" applyFont="1" applyFill="1" applyBorder="1" applyAlignment="1">
      <alignment vertical="top"/>
    </xf>
    <xf numFmtId="166" fontId="6" fillId="0" borderId="7" xfId="0" applyNumberFormat="1" applyFont="1" applyBorder="1" applyAlignment="1">
      <alignment vertical="top"/>
    </xf>
    <xf numFmtId="41" fontId="6" fillId="0" borderId="29" xfId="0" applyNumberFormat="1" applyFont="1" applyBorder="1" applyAlignment="1">
      <alignment vertical="top"/>
    </xf>
    <xf numFmtId="166" fontId="6" fillId="0" borderId="27" xfId="1" applyNumberFormat="1" applyFont="1" applyBorder="1" applyAlignment="1">
      <alignment vertical="top"/>
    </xf>
    <xf numFmtId="1" fontId="7" fillId="0" borderId="1" xfId="0" applyNumberFormat="1" applyFont="1" applyBorder="1" applyAlignment="1">
      <alignment horizontal="center" vertical="top"/>
    </xf>
    <xf numFmtId="0" fontId="6" fillId="0" borderId="10" xfId="0" applyFont="1" applyBorder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11" xfId="0" applyFont="1" applyBorder="1" applyAlignment="1">
      <alignment horizontal="center" vertical="top"/>
    </xf>
    <xf numFmtId="166" fontId="7" fillId="0" borderId="20" xfId="1" applyNumberFormat="1" applyFont="1" applyBorder="1" applyAlignment="1">
      <alignment vertical="top"/>
    </xf>
    <xf numFmtId="166" fontId="7" fillId="2" borderId="21" xfId="1" applyNumberFormat="1" applyFont="1" applyFill="1" applyBorder="1" applyAlignment="1">
      <alignment vertical="top"/>
    </xf>
    <xf numFmtId="166" fontId="7" fillId="0" borderId="21" xfId="1" applyNumberFormat="1" applyFont="1" applyBorder="1" applyAlignment="1">
      <alignment vertical="top"/>
    </xf>
    <xf numFmtId="164" fontId="7" fillId="0" borderId="20" xfId="1" applyFont="1" applyBorder="1" applyAlignment="1">
      <alignment vertical="top"/>
    </xf>
    <xf numFmtId="164" fontId="7" fillId="0" borderId="21" xfId="1" applyFont="1" applyBorder="1" applyAlignment="1">
      <alignment vertical="top"/>
    </xf>
    <xf numFmtId="164" fontId="7" fillId="0" borderId="30" xfId="1" applyFont="1" applyBorder="1" applyAlignment="1">
      <alignment vertical="top"/>
    </xf>
    <xf numFmtId="164" fontId="7" fillId="0" borderId="30" xfId="1" applyFont="1" applyBorder="1" applyAlignment="1">
      <alignment vertical="top" wrapText="1"/>
    </xf>
    <xf numFmtId="164" fontId="7" fillId="0" borderId="4" xfId="1" applyFont="1" applyBorder="1" applyAlignment="1">
      <alignment vertical="top"/>
    </xf>
    <xf numFmtId="164" fontId="7" fillId="0" borderId="5" xfId="1" applyFont="1" applyBorder="1" applyAlignment="1">
      <alignment vertical="top"/>
    </xf>
    <xf numFmtId="166" fontId="7" fillId="0" borderId="4" xfId="1" applyNumberFormat="1" applyFont="1" applyFill="1" applyBorder="1" applyAlignment="1">
      <alignment vertical="top"/>
    </xf>
    <xf numFmtId="166" fontId="7" fillId="0" borderId="5" xfId="1" applyNumberFormat="1" applyFont="1" applyFill="1" applyBorder="1" applyAlignment="1">
      <alignment vertical="top"/>
    </xf>
    <xf numFmtId="166" fontId="7" fillId="0" borderId="4" xfId="1" applyNumberFormat="1" applyFont="1" applyBorder="1" applyAlignment="1">
      <alignment vertical="top"/>
    </xf>
    <xf numFmtId="166" fontId="7" fillId="0" borderId="5" xfId="1" applyNumberFormat="1" applyFont="1" applyBorder="1" applyAlignment="1">
      <alignment vertical="top"/>
    </xf>
    <xf numFmtId="164" fontId="7" fillId="0" borderId="10" xfId="1" applyFont="1" applyBorder="1" applyAlignment="1">
      <alignment vertical="top"/>
    </xf>
    <xf numFmtId="164" fontId="7" fillId="0" borderId="8" xfId="1" applyFont="1" applyBorder="1" applyAlignment="1">
      <alignment vertical="top"/>
    </xf>
    <xf numFmtId="164" fontId="7" fillId="0" borderId="9" xfId="1" applyFont="1" applyBorder="1" applyAlignment="1">
      <alignment vertical="top"/>
    </xf>
    <xf numFmtId="166" fontId="7" fillId="0" borderId="8" xfId="1" applyNumberFormat="1" applyFont="1" applyFill="1" applyBorder="1" applyAlignment="1">
      <alignment vertical="top"/>
    </xf>
    <xf numFmtId="41" fontId="7" fillId="0" borderId="9" xfId="3" applyFont="1" applyFill="1" applyBorder="1" applyAlignment="1">
      <alignment vertical="top"/>
    </xf>
    <xf numFmtId="166" fontId="7" fillId="0" borderId="8" xfId="1" applyNumberFormat="1" applyFont="1" applyBorder="1" applyAlignment="1">
      <alignment vertical="top"/>
    </xf>
    <xf numFmtId="166" fontId="7" fillId="0" borderId="9" xfId="1" applyNumberFormat="1" applyFont="1" applyBorder="1" applyAlignment="1">
      <alignment vertical="top"/>
    </xf>
    <xf numFmtId="164" fontId="7" fillId="0" borderId="12" xfId="1" applyFont="1" applyBorder="1" applyAlignment="1">
      <alignment vertical="top"/>
    </xf>
    <xf numFmtId="0" fontId="7" fillId="0" borderId="10" xfId="1" applyNumberFormat="1" applyFont="1" applyBorder="1" applyAlignment="1">
      <alignment horizontal="center" vertical="center" wrapText="1"/>
    </xf>
    <xf numFmtId="14" fontId="7" fillId="0" borderId="10" xfId="1" applyNumberFormat="1" applyFont="1" applyBorder="1" applyAlignment="1">
      <alignment horizontal="center" vertical="center"/>
    </xf>
    <xf numFmtId="164" fontId="7" fillId="0" borderId="10" xfId="1" applyFont="1" applyBorder="1" applyAlignment="1">
      <alignment horizontal="center" vertical="center" wrapText="1"/>
    </xf>
    <xf numFmtId="0" fontId="7" fillId="0" borderId="12" xfId="1" applyNumberFormat="1" applyFont="1" applyBorder="1" applyAlignment="1">
      <alignment horizontal="center" vertical="center" wrapText="1"/>
    </xf>
    <xf numFmtId="14" fontId="7" fillId="0" borderId="12" xfId="1" applyNumberFormat="1" applyFont="1" applyBorder="1" applyAlignment="1">
      <alignment horizontal="center" vertical="center"/>
    </xf>
    <xf numFmtId="164" fontId="7" fillId="0" borderId="12" xfId="1" applyFont="1" applyBorder="1" applyAlignment="1">
      <alignment horizontal="center" vertical="center" wrapText="1"/>
    </xf>
    <xf numFmtId="164" fontId="7" fillId="0" borderId="4" xfId="1" applyFont="1" applyFill="1" applyBorder="1" applyAlignment="1">
      <alignment vertical="top"/>
    </xf>
    <xf numFmtId="41" fontId="7" fillId="0" borderId="5" xfId="3" applyFont="1" applyFill="1" applyBorder="1" applyAlignment="1">
      <alignment vertical="top"/>
    </xf>
    <xf numFmtId="164" fontId="7" fillId="0" borderId="38" xfId="1" applyFont="1" applyBorder="1"/>
    <xf numFmtId="0" fontId="7" fillId="0" borderId="10" xfId="1" applyNumberFormat="1" applyFont="1" applyBorder="1" applyAlignment="1">
      <alignment horizontal="center" vertical="center"/>
    </xf>
    <xf numFmtId="164" fontId="7" fillId="0" borderId="9" xfId="0" applyNumberFormat="1" applyFont="1" applyBorder="1" applyAlignment="1">
      <alignment vertical="top"/>
    </xf>
    <xf numFmtId="14" fontId="7" fillId="0" borderId="40" xfId="1" applyNumberFormat="1" applyFont="1" applyBorder="1" applyAlignment="1">
      <alignment horizontal="center" vertical="center"/>
    </xf>
    <xf numFmtId="164" fontId="7" fillId="0" borderId="40" xfId="1" applyFont="1" applyBorder="1" applyAlignment="1">
      <alignment horizontal="center" vertical="center" wrapText="1"/>
    </xf>
    <xf numFmtId="167" fontId="7" fillId="0" borderId="4" xfId="0" applyNumberFormat="1" applyFont="1" applyBorder="1" applyAlignment="1">
      <alignment vertical="top"/>
    </xf>
    <xf numFmtId="167" fontId="7" fillId="0" borderId="8" xfId="0" applyNumberFormat="1" applyFont="1" applyBorder="1" applyAlignment="1">
      <alignment vertical="top"/>
    </xf>
    <xf numFmtId="1" fontId="6" fillId="0" borderId="1" xfId="1" applyNumberFormat="1" applyFont="1" applyBorder="1" applyAlignment="1">
      <alignment horizontal="center" vertical="top"/>
    </xf>
    <xf numFmtId="0" fontId="6" fillId="0" borderId="24" xfId="0" applyFont="1" applyBorder="1" applyAlignment="1">
      <alignment vertical="top"/>
    </xf>
    <xf numFmtId="0" fontId="6" fillId="0" borderId="0" xfId="0" applyFont="1"/>
    <xf numFmtId="1" fontId="6" fillId="0" borderId="1" xfId="0" applyNumberFormat="1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7" fillId="0" borderId="25" xfId="0" applyFont="1" applyBorder="1" applyAlignment="1">
      <alignment vertical="top"/>
    </xf>
    <xf numFmtId="41" fontId="7" fillId="0" borderId="25" xfId="3" applyFont="1" applyFill="1" applyBorder="1" applyAlignment="1">
      <alignment vertical="top"/>
    </xf>
    <xf numFmtId="0" fontId="7" fillId="0" borderId="24" xfId="0" applyFont="1" applyBorder="1" applyAlignment="1">
      <alignment vertical="top"/>
    </xf>
    <xf numFmtId="164" fontId="7" fillId="0" borderId="37" xfId="1" applyFont="1" applyBorder="1" applyAlignment="1">
      <alignment vertical="top"/>
    </xf>
    <xf numFmtId="0" fontId="7" fillId="0" borderId="37" xfId="1" applyNumberFormat="1" applyFont="1" applyBorder="1" applyAlignment="1">
      <alignment horizontal="right" vertical="top"/>
    </xf>
    <xf numFmtId="14" fontId="7" fillId="0" borderId="37" xfId="1" applyNumberFormat="1" applyFont="1" applyBorder="1" applyAlignment="1">
      <alignment vertical="top"/>
    </xf>
    <xf numFmtId="164" fontId="7" fillId="0" borderId="37" xfId="1" applyFont="1" applyBorder="1" applyAlignment="1">
      <alignment horizontal="left" wrapText="1"/>
    </xf>
    <xf numFmtId="41" fontId="7" fillId="0" borderId="7" xfId="3" applyFont="1" applyFill="1" applyBorder="1" applyAlignment="1">
      <alignment vertical="top"/>
    </xf>
    <xf numFmtId="41" fontId="7" fillId="0" borderId="7" xfId="3" applyFont="1" applyBorder="1" applyAlignment="1">
      <alignment vertical="top"/>
    </xf>
    <xf numFmtId="166" fontId="7" fillId="0" borderId="20" xfId="1" applyNumberFormat="1" applyFont="1" applyFill="1" applyBorder="1" applyAlignment="1">
      <alignment vertical="top"/>
    </xf>
    <xf numFmtId="41" fontId="7" fillId="0" borderId="21" xfId="3" applyFont="1" applyBorder="1" applyAlignment="1">
      <alignment vertical="top"/>
    </xf>
    <xf numFmtId="168" fontId="6" fillId="0" borderId="8" xfId="3" applyNumberFormat="1" applyFont="1" applyBorder="1" applyAlignment="1">
      <alignment vertical="top"/>
    </xf>
    <xf numFmtId="168" fontId="6" fillId="0" borderId="9" xfId="3" applyNumberFormat="1" applyFont="1" applyBorder="1" applyAlignment="1">
      <alignment vertical="top"/>
    </xf>
    <xf numFmtId="168" fontId="6" fillId="0" borderId="12" xfId="3" applyNumberFormat="1" applyFont="1" applyBorder="1" applyAlignment="1">
      <alignment vertical="top"/>
    </xf>
    <xf numFmtId="168" fontId="6" fillId="0" borderId="12" xfId="3" applyNumberFormat="1" applyFont="1" applyBorder="1" applyAlignment="1">
      <alignment horizontal="right" vertical="top"/>
    </xf>
    <xf numFmtId="168" fontId="6" fillId="0" borderId="12" xfId="3" applyNumberFormat="1" applyFont="1" applyBorder="1" applyAlignment="1">
      <alignment vertical="top" wrapText="1"/>
    </xf>
    <xf numFmtId="168" fontId="7" fillId="0" borderId="8" xfId="3" applyNumberFormat="1" applyFont="1" applyBorder="1" applyAlignment="1">
      <alignment vertical="top"/>
    </xf>
    <xf numFmtId="168" fontId="7" fillId="0" borderId="9" xfId="3" applyNumberFormat="1" applyFont="1" applyBorder="1" applyAlignment="1">
      <alignment vertical="top"/>
    </xf>
    <xf numFmtId="168" fontId="7" fillId="0" borderId="12" xfId="3" applyNumberFormat="1" applyFont="1" applyBorder="1" applyAlignment="1">
      <alignment vertical="top"/>
    </xf>
    <xf numFmtId="168" fontId="7" fillId="0" borderId="12" xfId="3" applyNumberFormat="1" applyFont="1" applyBorder="1" applyAlignment="1">
      <alignment horizontal="right" vertical="top"/>
    </xf>
    <xf numFmtId="168" fontId="7" fillId="0" borderId="12" xfId="3" applyNumberFormat="1" applyFont="1" applyBorder="1" applyAlignment="1">
      <alignment vertical="top" wrapText="1"/>
    </xf>
    <xf numFmtId="14" fontId="7" fillId="0" borderId="12" xfId="3" applyNumberFormat="1" applyFont="1" applyBorder="1" applyAlignment="1">
      <alignment vertical="top"/>
    </xf>
    <xf numFmtId="14" fontId="6" fillId="0" borderId="12" xfId="3" applyNumberFormat="1" applyFont="1" applyBorder="1" applyAlignment="1">
      <alignment vertical="top"/>
    </xf>
    <xf numFmtId="166" fontId="7" fillId="0" borderId="24" xfId="3" applyNumberFormat="1" applyFont="1" applyFill="1" applyBorder="1" applyAlignment="1">
      <alignment horizontal="left" vertical="top" indent="2"/>
    </xf>
    <xf numFmtId="166" fontId="7" fillId="0" borderId="8" xfId="3" applyNumberFormat="1" applyFont="1" applyBorder="1" applyAlignment="1">
      <alignment vertical="top"/>
    </xf>
    <xf numFmtId="41" fontId="7" fillId="0" borderId="6" xfId="1" applyNumberFormat="1" applyFont="1" applyBorder="1" applyAlignment="1">
      <alignment vertical="top"/>
    </xf>
    <xf numFmtId="41" fontId="7" fillId="0" borderId="20" xfId="1" applyNumberFormat="1" applyFont="1" applyBorder="1" applyAlignment="1">
      <alignment vertical="top"/>
    </xf>
    <xf numFmtId="41" fontId="7" fillId="0" borderId="4" xfId="1" applyNumberFormat="1" applyFont="1" applyBorder="1" applyAlignment="1">
      <alignment vertical="top"/>
    </xf>
    <xf numFmtId="41" fontId="7" fillId="0" borderId="8" xfId="1" applyNumberFormat="1" applyFont="1" applyBorder="1" applyAlignment="1">
      <alignment vertical="top"/>
    </xf>
    <xf numFmtId="41" fontId="7" fillId="0" borderId="5" xfId="1" applyNumberFormat="1" applyFont="1" applyBorder="1" applyAlignment="1">
      <alignment vertical="top"/>
    </xf>
    <xf numFmtId="41" fontId="7" fillId="0" borderId="39" xfId="0" applyNumberFormat="1" applyFont="1" applyBorder="1"/>
    <xf numFmtId="41" fontId="7" fillId="0" borderId="24" xfId="0" applyNumberFormat="1" applyFont="1" applyBorder="1" applyAlignment="1">
      <alignment vertical="top"/>
    </xf>
    <xf numFmtId="41" fontId="7" fillId="0" borderId="20" xfId="0" applyNumberFormat="1" applyFont="1" applyBorder="1" applyAlignment="1">
      <alignment vertical="top"/>
    </xf>
    <xf numFmtId="41" fontId="7" fillId="0" borderId="8" xfId="3" applyFont="1" applyFill="1" applyBorder="1" applyAlignment="1">
      <alignment vertical="top"/>
    </xf>
    <xf numFmtId="1" fontId="7" fillId="0" borderId="31" xfId="0" applyNumberFormat="1" applyFont="1" applyBorder="1" applyAlignment="1">
      <alignment vertical="top"/>
    </xf>
    <xf numFmtId="168" fontId="6" fillId="0" borderId="21" xfId="3" applyNumberFormat="1" applyFont="1" applyBorder="1" applyAlignment="1">
      <alignment vertical="top"/>
    </xf>
    <xf numFmtId="0" fontId="7" fillId="0" borderId="41" xfId="0" applyFont="1" applyBorder="1" applyAlignment="1">
      <alignment vertical="top"/>
    </xf>
    <xf numFmtId="168" fontId="6" fillId="0" borderId="41" xfId="3" applyNumberFormat="1" applyFont="1" applyBorder="1" applyAlignment="1">
      <alignment vertical="top"/>
    </xf>
    <xf numFmtId="41" fontId="6" fillId="0" borderId="41" xfId="3" applyFont="1" applyFill="1" applyBorder="1" applyAlignment="1">
      <alignment vertical="top"/>
    </xf>
    <xf numFmtId="0" fontId="7" fillId="0" borderId="41" xfId="0" applyFont="1" applyBorder="1"/>
    <xf numFmtId="168" fontId="7" fillId="0" borderId="20" xfId="3" applyNumberFormat="1" applyFont="1" applyBorder="1" applyAlignment="1">
      <alignment vertical="top"/>
    </xf>
    <xf numFmtId="168" fontId="7" fillId="0" borderId="41" xfId="3" applyNumberFormat="1" applyFont="1" applyBorder="1" applyAlignment="1">
      <alignment vertical="top"/>
    </xf>
    <xf numFmtId="41" fontId="7" fillId="0" borderId="41" xfId="3" applyFont="1" applyBorder="1" applyAlignment="1">
      <alignment vertical="top"/>
    </xf>
    <xf numFmtId="168" fontId="6" fillId="0" borderId="42" xfId="3" applyNumberFormat="1" applyFont="1" applyBorder="1" applyAlignment="1">
      <alignment vertical="top"/>
    </xf>
    <xf numFmtId="168" fontId="6" fillId="0" borderId="42" xfId="3" applyNumberFormat="1" applyFont="1" applyBorder="1" applyAlignment="1">
      <alignment horizontal="right" vertical="top"/>
    </xf>
    <xf numFmtId="14" fontId="6" fillId="0" borderId="42" xfId="3" applyNumberFormat="1" applyFont="1" applyBorder="1" applyAlignment="1">
      <alignment vertical="top"/>
    </xf>
    <xf numFmtId="168" fontId="6" fillId="0" borderId="42" xfId="3" applyNumberFormat="1" applyFont="1" applyBorder="1" applyAlignment="1">
      <alignment vertical="top" wrapText="1"/>
    </xf>
    <xf numFmtId="168" fontId="6" fillId="0" borderId="14" xfId="3" applyNumberFormat="1" applyFont="1" applyBorder="1" applyAlignment="1">
      <alignment vertical="top"/>
    </xf>
    <xf numFmtId="168" fontId="6" fillId="0" borderId="14" xfId="3" applyNumberFormat="1" applyFont="1" applyBorder="1" applyAlignment="1">
      <alignment horizontal="right" vertical="top"/>
    </xf>
    <xf numFmtId="0" fontId="6" fillId="0" borderId="4" xfId="0" applyFont="1" applyBorder="1" applyAlignment="1">
      <alignment horizontal="left" vertical="top"/>
    </xf>
    <xf numFmtId="0" fontId="6" fillId="0" borderId="13" xfId="0" applyFont="1" applyBorder="1" applyAlignment="1">
      <alignment horizontal="left" vertical="top"/>
    </xf>
    <xf numFmtId="0" fontId="6" fillId="0" borderId="35" xfId="0" applyFont="1" applyBorder="1" applyAlignment="1">
      <alignment horizontal="left" vertical="top"/>
    </xf>
    <xf numFmtId="0" fontId="6" fillId="0" borderId="8" xfId="0" applyFont="1" applyBorder="1" applyAlignment="1">
      <alignment horizontal="left" vertical="top"/>
    </xf>
    <xf numFmtId="0" fontId="6" fillId="0" borderId="14" xfId="0" applyFont="1" applyBorder="1" applyAlignment="1">
      <alignment horizontal="left" vertical="top"/>
    </xf>
    <xf numFmtId="0" fontId="6" fillId="0" borderId="32" xfId="0" applyFont="1" applyBorder="1" applyAlignment="1">
      <alignment horizontal="left" vertical="top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/>
    </xf>
    <xf numFmtId="0" fontId="6" fillId="0" borderId="5" xfId="0" applyFont="1" applyBorder="1" applyAlignment="1">
      <alignment horizontal="center" vertical="top"/>
    </xf>
    <xf numFmtId="0" fontId="6" fillId="0" borderId="10" xfId="1" applyNumberFormat="1" applyFont="1" applyBorder="1" applyAlignment="1">
      <alignment horizontal="center" vertical="top" wrapText="1"/>
    </xf>
    <xf numFmtId="0" fontId="6" fillId="0" borderId="11" xfId="1" applyNumberFormat="1" applyFont="1" applyBorder="1" applyAlignment="1">
      <alignment horizontal="center" vertical="top" wrapText="1"/>
    </xf>
    <xf numFmtId="167" fontId="12" fillId="4" borderId="18" xfId="0" applyNumberFormat="1" applyFont="1" applyFill="1" applyBorder="1" applyAlignment="1">
      <alignment horizontal="left" vertical="top"/>
    </xf>
    <xf numFmtId="167" fontId="12" fillId="4" borderId="19" xfId="0" applyNumberFormat="1" applyFont="1" applyFill="1" applyBorder="1" applyAlignment="1">
      <alignment horizontal="left" vertical="top"/>
    </xf>
    <xf numFmtId="1" fontId="7" fillId="0" borderId="1" xfId="1" applyNumberFormat="1" applyFont="1" applyBorder="1" applyAlignment="1">
      <alignment horizontal="center" vertical="top"/>
    </xf>
    <xf numFmtId="0" fontId="6" fillId="0" borderId="20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9" fillId="0" borderId="15" xfId="0" applyFont="1" applyBorder="1" applyAlignment="1">
      <alignment horizontal="left" vertical="top"/>
    </xf>
    <xf numFmtId="0" fontId="9" fillId="0" borderId="16" xfId="0" applyFont="1" applyBorder="1" applyAlignment="1">
      <alignment horizontal="left" vertical="top"/>
    </xf>
    <xf numFmtId="167" fontId="9" fillId="4" borderId="18" xfId="0" applyNumberFormat="1" applyFont="1" applyFill="1" applyBorder="1" applyAlignment="1">
      <alignment horizontal="center" vertical="top"/>
    </xf>
    <xf numFmtId="167" fontId="9" fillId="4" borderId="19" xfId="0" applyNumberFormat="1" applyFont="1" applyFill="1" applyBorder="1" applyAlignment="1">
      <alignment horizontal="center" vertical="top"/>
    </xf>
    <xf numFmtId="0" fontId="6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left" vertical="top" wrapText="1"/>
    </xf>
    <xf numFmtId="0" fontId="6" fillId="0" borderId="33" xfId="0" applyFont="1" applyBorder="1" applyAlignment="1">
      <alignment horizontal="left" vertical="top"/>
    </xf>
    <xf numFmtId="0" fontId="6" fillId="0" borderId="34" xfId="0" applyFont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6" fillId="0" borderId="10" xfId="1" applyNumberFormat="1" applyFont="1" applyBorder="1" applyAlignment="1">
      <alignment horizontal="left" vertical="top" wrapText="1"/>
    </xf>
    <xf numFmtId="0" fontId="6" fillId="0" borderId="11" xfId="1" applyNumberFormat="1" applyFont="1" applyBorder="1" applyAlignment="1">
      <alignment horizontal="left" vertical="top" wrapText="1"/>
    </xf>
    <xf numFmtId="168" fontId="6" fillId="0" borderId="20" xfId="3" applyNumberFormat="1" applyFont="1" applyBorder="1" applyAlignment="1">
      <alignment vertical="top"/>
    </xf>
    <xf numFmtId="0" fontId="6" fillId="0" borderId="41" xfId="0" applyFont="1" applyBorder="1" applyAlignment="1">
      <alignment vertical="top"/>
    </xf>
    <xf numFmtId="0" fontId="0" fillId="0" borderId="0" xfId="0" applyFont="1"/>
    <xf numFmtId="41" fontId="7" fillId="0" borderId="20" xfId="3" applyFont="1" applyFill="1" applyBorder="1" applyAlignment="1">
      <alignment vertical="top"/>
    </xf>
    <xf numFmtId="168" fontId="7" fillId="0" borderId="21" xfId="3" applyNumberFormat="1" applyFont="1" applyBorder="1" applyAlignment="1">
      <alignment vertical="top"/>
    </xf>
    <xf numFmtId="41" fontId="7" fillId="0" borderId="41" xfId="3" applyFont="1" applyFill="1" applyBorder="1" applyAlignment="1">
      <alignment vertical="top"/>
    </xf>
    <xf numFmtId="166" fontId="7" fillId="0" borderId="20" xfId="3" applyNumberFormat="1" applyFont="1" applyBorder="1" applyAlignment="1">
      <alignment vertical="top"/>
    </xf>
    <xf numFmtId="164" fontId="7" fillId="0" borderId="21" xfId="0" applyNumberFormat="1" applyFont="1" applyBorder="1" applyAlignment="1">
      <alignment vertical="top"/>
    </xf>
    <xf numFmtId="166" fontId="7" fillId="0" borderId="20" xfId="0" applyNumberFormat="1" applyFont="1" applyBorder="1" applyAlignment="1">
      <alignment vertical="top"/>
    </xf>
    <xf numFmtId="168" fontId="6" fillId="0" borderId="30" xfId="3" applyNumberFormat="1" applyFont="1" applyBorder="1" applyAlignment="1">
      <alignment vertical="top"/>
    </xf>
    <xf numFmtId="168" fontId="6" fillId="0" borderId="30" xfId="3" applyNumberFormat="1" applyFont="1" applyBorder="1" applyAlignment="1">
      <alignment horizontal="right" vertical="top"/>
    </xf>
    <xf numFmtId="14" fontId="6" fillId="0" borderId="30" xfId="3" applyNumberFormat="1" applyFont="1" applyBorder="1" applyAlignment="1">
      <alignment vertical="top"/>
    </xf>
    <xf numFmtId="168" fontId="6" fillId="0" borderId="30" xfId="3" applyNumberFormat="1" applyFont="1" applyBorder="1" applyAlignment="1">
      <alignment vertical="top" wrapText="1"/>
    </xf>
    <xf numFmtId="0" fontId="6" fillId="0" borderId="24" xfId="0" applyFont="1" applyBorder="1" applyAlignment="1">
      <alignment horizontal="left" vertical="top"/>
    </xf>
    <xf numFmtId="0" fontId="6" fillId="0" borderId="3" xfId="0" applyFont="1" applyBorder="1" applyAlignment="1">
      <alignment horizontal="left" vertical="top"/>
    </xf>
    <xf numFmtId="166" fontId="7" fillId="0" borderId="41" xfId="3" applyNumberFormat="1" applyFont="1" applyBorder="1" applyAlignment="1">
      <alignment vertical="top"/>
    </xf>
    <xf numFmtId="164" fontId="7" fillId="0" borderId="41" xfId="0" applyNumberFormat="1" applyFont="1" applyBorder="1" applyAlignment="1">
      <alignment vertical="top"/>
    </xf>
    <xf numFmtId="166" fontId="7" fillId="0" borderId="41" xfId="0" applyNumberFormat="1" applyFont="1" applyBorder="1" applyAlignment="1">
      <alignment vertical="top"/>
    </xf>
    <xf numFmtId="168" fontId="7" fillId="0" borderId="41" xfId="3" applyNumberFormat="1" applyFont="1" applyBorder="1" applyAlignment="1">
      <alignment horizontal="right" vertical="top"/>
    </xf>
    <xf numFmtId="14" fontId="7" fillId="0" borderId="41" xfId="3" applyNumberFormat="1" applyFont="1" applyBorder="1" applyAlignment="1">
      <alignment vertical="top"/>
    </xf>
    <xf numFmtId="166" fontId="6" fillId="0" borderId="41" xfId="3" applyNumberFormat="1" applyFont="1" applyBorder="1" applyAlignment="1">
      <alignment vertical="top"/>
    </xf>
    <xf numFmtId="168" fontId="6" fillId="0" borderId="41" xfId="3" applyNumberFormat="1" applyFont="1" applyBorder="1" applyAlignment="1">
      <alignment horizontal="right" vertical="top"/>
    </xf>
    <xf numFmtId="14" fontId="6" fillId="0" borderId="41" xfId="3" applyNumberFormat="1" applyFont="1" applyBorder="1" applyAlignment="1">
      <alignment vertical="top"/>
    </xf>
    <xf numFmtId="1" fontId="7" fillId="0" borderId="43" xfId="0" applyNumberFormat="1" applyFont="1" applyBorder="1" applyAlignment="1">
      <alignment vertical="top"/>
    </xf>
    <xf numFmtId="0" fontId="7" fillId="0" borderId="33" xfId="0" applyFont="1" applyBorder="1" applyAlignment="1">
      <alignment vertical="top"/>
    </xf>
    <xf numFmtId="0" fontId="7" fillId="0" borderId="34" xfId="0" applyFont="1" applyBorder="1" applyAlignment="1">
      <alignment vertical="top"/>
    </xf>
    <xf numFmtId="168" fontId="7" fillId="0" borderId="33" xfId="3" applyNumberFormat="1" applyFont="1" applyBorder="1" applyAlignment="1">
      <alignment vertical="top"/>
    </xf>
    <xf numFmtId="168" fontId="7" fillId="0" borderId="34" xfId="3" applyNumberFormat="1" applyFont="1" applyBorder="1" applyAlignment="1">
      <alignment vertical="top"/>
    </xf>
    <xf numFmtId="166" fontId="7" fillId="0" borderId="33" xfId="3" applyNumberFormat="1" applyFont="1" applyBorder="1" applyAlignment="1">
      <alignment vertical="top"/>
    </xf>
    <xf numFmtId="164" fontId="7" fillId="0" borderId="34" xfId="0" applyNumberFormat="1" applyFont="1" applyBorder="1" applyAlignment="1">
      <alignment vertical="top"/>
    </xf>
    <xf numFmtId="41" fontId="7" fillId="0" borderId="33" xfId="3" applyFont="1" applyFill="1" applyBorder="1" applyAlignment="1">
      <alignment vertical="top"/>
    </xf>
    <xf numFmtId="166" fontId="7" fillId="0" borderId="33" xfId="0" applyNumberFormat="1" applyFont="1" applyBorder="1" applyAlignment="1">
      <alignment vertical="top"/>
    </xf>
    <xf numFmtId="168" fontId="6" fillId="0" borderId="33" xfId="3" applyNumberFormat="1" applyFont="1" applyBorder="1" applyAlignment="1">
      <alignment vertical="top"/>
    </xf>
    <xf numFmtId="168" fontId="6" fillId="0" borderId="34" xfId="3" applyNumberFormat="1" applyFont="1" applyBorder="1" applyAlignment="1">
      <alignment vertical="top"/>
    </xf>
    <xf numFmtId="1" fontId="7" fillId="0" borderId="6" xfId="0" applyNumberFormat="1" applyFont="1" applyBorder="1" applyAlignment="1">
      <alignment vertical="top"/>
    </xf>
    <xf numFmtId="168" fontId="7" fillId="0" borderId="7" xfId="3" applyNumberFormat="1" applyFont="1" applyBorder="1" applyAlignment="1">
      <alignment vertical="top" wrapText="1"/>
    </xf>
    <xf numFmtId="1" fontId="7" fillId="0" borderId="8" xfId="0" applyNumberFormat="1" applyFont="1" applyBorder="1" applyAlignment="1">
      <alignment vertical="top"/>
    </xf>
    <xf numFmtId="0" fontId="7" fillId="0" borderId="14" xfId="0" applyFont="1" applyBorder="1" applyAlignment="1">
      <alignment vertical="top"/>
    </xf>
    <xf numFmtId="166" fontId="6" fillId="0" borderId="14" xfId="3" applyNumberFormat="1" applyFont="1" applyBorder="1" applyAlignment="1">
      <alignment vertical="top"/>
    </xf>
    <xf numFmtId="41" fontId="6" fillId="0" borderId="14" xfId="3" applyFont="1" applyFill="1" applyBorder="1" applyAlignment="1">
      <alignment vertical="top"/>
    </xf>
    <xf numFmtId="14" fontId="6" fillId="0" borderId="14" xfId="3" applyNumberFormat="1" applyFont="1" applyBorder="1" applyAlignment="1">
      <alignment vertical="top"/>
    </xf>
    <xf numFmtId="168" fontId="6" fillId="0" borderId="9" xfId="3" applyNumberFormat="1" applyFont="1" applyBorder="1" applyAlignment="1">
      <alignment vertical="top" wrapText="1"/>
    </xf>
    <xf numFmtId="1" fontId="6" fillId="0" borderId="6" xfId="0" applyNumberFormat="1" applyFont="1" applyBorder="1" applyAlignment="1">
      <alignment vertical="top"/>
    </xf>
    <xf numFmtId="168" fontId="6" fillId="0" borderId="7" xfId="3" applyNumberFormat="1" applyFont="1" applyBorder="1" applyAlignment="1">
      <alignment vertical="top" wrapText="1"/>
    </xf>
    <xf numFmtId="164" fontId="6" fillId="0" borderId="41" xfId="0" applyNumberFormat="1" applyFont="1" applyBorder="1" applyAlignment="1">
      <alignment vertical="top"/>
    </xf>
    <xf numFmtId="166" fontId="6" fillId="0" borderId="41" xfId="0" applyNumberFormat="1" applyFont="1" applyBorder="1" applyAlignment="1">
      <alignment vertical="top"/>
    </xf>
    <xf numFmtId="0" fontId="16" fillId="0" borderId="0" xfId="0" applyFont="1"/>
    <xf numFmtId="166" fontId="6" fillId="3" borderId="3" xfId="0" applyNumberFormat="1" applyFont="1" applyFill="1" applyBorder="1" applyAlignment="1">
      <alignment horizontal="left" vertical="top" indent="2"/>
    </xf>
    <xf numFmtId="166" fontId="6" fillId="0" borderId="25" xfId="0" applyNumberFormat="1" applyFont="1" applyBorder="1" applyAlignment="1">
      <alignment horizontal="left" vertical="top" indent="2"/>
    </xf>
    <xf numFmtId="166" fontId="6" fillId="0" borderId="14" xfId="0" applyNumberFormat="1" applyFont="1" applyBorder="1" applyAlignment="1">
      <alignment horizontal="left" vertical="top" indent="2"/>
    </xf>
    <xf numFmtId="166" fontId="6" fillId="3" borderId="9" xfId="0" applyNumberFormat="1" applyFont="1" applyFill="1" applyBorder="1" applyAlignment="1">
      <alignment horizontal="left" vertical="top" indent="2"/>
    </xf>
    <xf numFmtId="9" fontId="6" fillId="0" borderId="13" xfId="2" applyFont="1" applyBorder="1" applyAlignment="1">
      <alignment vertical="top"/>
    </xf>
    <xf numFmtId="0" fontId="6" fillId="0" borderId="5" xfId="0" applyFont="1" applyBorder="1" applyAlignment="1">
      <alignment vertical="top"/>
    </xf>
    <xf numFmtId="9" fontId="6" fillId="0" borderId="14" xfId="2" applyFont="1" applyBorder="1" applyAlignment="1">
      <alignment vertical="top"/>
    </xf>
    <xf numFmtId="9" fontId="6" fillId="0" borderId="9" xfId="2" applyFont="1" applyBorder="1" applyAlignment="1">
      <alignment vertical="top"/>
    </xf>
  </cellXfs>
  <cellStyles count="4">
    <cellStyle name="Comma" xfId="1" builtinId="3"/>
    <cellStyle name="Comma [0]" xfId="3" builtinId="6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15"/>
  <sheetViews>
    <sheetView workbookViewId="0">
      <selection activeCell="E13" sqref="E13"/>
    </sheetView>
  </sheetViews>
  <sheetFormatPr baseColWidth="10" defaultColWidth="11.5" defaultRowHeight="15" x14ac:dyDescent="0.2"/>
  <cols>
    <col min="1" max="1" width="2.83203125" customWidth="1"/>
    <col min="2" max="2" width="18.83203125" bestFit="1" customWidth="1"/>
    <col min="3" max="3" width="41" customWidth="1"/>
    <col min="4" max="4" width="32.5" bestFit="1" customWidth="1"/>
  </cols>
  <sheetData>
    <row r="2" spans="2:10" ht="16" x14ac:dyDescent="0.2">
      <c r="B2" s="10" t="s">
        <v>0</v>
      </c>
      <c r="C2" s="5"/>
      <c r="D2" s="5"/>
      <c r="E2" s="5"/>
      <c r="F2" s="5"/>
      <c r="G2" s="5"/>
      <c r="H2" s="5"/>
      <c r="I2" s="5"/>
      <c r="J2" s="5"/>
    </row>
    <row r="3" spans="2:10" ht="16" x14ac:dyDescent="0.2">
      <c r="B3" s="5"/>
      <c r="C3" s="5"/>
      <c r="D3" s="5"/>
      <c r="E3" s="5"/>
      <c r="F3" s="5"/>
      <c r="G3" s="5"/>
      <c r="H3" s="5"/>
      <c r="I3" s="5"/>
      <c r="J3" s="5"/>
    </row>
    <row r="4" spans="2:10" ht="16" x14ac:dyDescent="0.2">
      <c r="B4" s="9" t="s">
        <v>1</v>
      </c>
      <c r="C4" s="15" t="s">
        <v>2</v>
      </c>
      <c r="D4" s="5"/>
      <c r="E4" s="5"/>
      <c r="F4" s="5"/>
      <c r="G4" s="5"/>
      <c r="H4" s="5"/>
      <c r="I4" s="5"/>
      <c r="J4" s="5"/>
    </row>
    <row r="5" spans="2:10" ht="16" x14ac:dyDescent="0.2">
      <c r="B5" s="9" t="s">
        <v>3</v>
      </c>
      <c r="C5" s="15" t="s">
        <v>4</v>
      </c>
      <c r="D5" s="5"/>
      <c r="E5" s="5"/>
      <c r="F5" s="5"/>
      <c r="G5" s="5"/>
      <c r="H5" s="5"/>
      <c r="I5" s="5"/>
      <c r="J5" s="5"/>
    </row>
    <row r="6" spans="2:10" ht="16" x14ac:dyDescent="0.2">
      <c r="B6" s="9" t="s">
        <v>5</v>
      </c>
      <c r="C6" s="15" t="s">
        <v>6</v>
      </c>
      <c r="D6" s="10"/>
      <c r="E6" s="10"/>
      <c r="F6" s="10"/>
      <c r="G6" s="10"/>
      <c r="H6" s="10"/>
      <c r="I6" s="10"/>
      <c r="J6" s="10"/>
    </row>
    <row r="7" spans="2:10" ht="16" x14ac:dyDescent="0.2">
      <c r="B7" s="9" t="s">
        <v>7</v>
      </c>
      <c r="C7" s="15">
        <v>612.70000000000005</v>
      </c>
      <c r="D7" s="1" t="s">
        <v>8</v>
      </c>
      <c r="E7" s="5"/>
      <c r="F7" s="5"/>
      <c r="G7" s="5"/>
      <c r="H7" s="5"/>
      <c r="I7" s="5"/>
      <c r="J7" s="5"/>
    </row>
    <row r="8" spans="2:10" ht="16" thickBot="1" x14ac:dyDescent="0.25"/>
    <row r="9" spans="2:10" ht="17" thickBot="1" x14ac:dyDescent="0.25">
      <c r="B9" s="60" t="s">
        <v>9</v>
      </c>
      <c r="C9" s="61" t="s">
        <v>10</v>
      </c>
      <c r="D9" s="62" t="s">
        <v>11</v>
      </c>
    </row>
    <row r="10" spans="2:10" ht="16" thickBot="1" x14ac:dyDescent="0.25">
      <c r="B10" s="57" t="s">
        <v>12</v>
      </c>
      <c r="C10" s="58">
        <f>'LOT3-BEST'!F41</f>
        <v>13438489091.5236</v>
      </c>
      <c r="D10" s="59">
        <f>'LOT3-BEST'!F42*RECAP!C7+'LOT3-BEST'!G43</f>
        <v>8737829378.7764015</v>
      </c>
    </row>
    <row r="11" spans="2:10" ht="16" thickBot="1" x14ac:dyDescent="0.25">
      <c r="B11" s="54" t="s">
        <v>13</v>
      </c>
      <c r="C11" s="55">
        <f>C10</f>
        <v>13438489091.5236</v>
      </c>
      <c r="D11" s="56">
        <f>D10</f>
        <v>8737829378.7764015</v>
      </c>
    </row>
    <row r="13" spans="2:10" x14ac:dyDescent="0.2">
      <c r="F13" s="72"/>
    </row>
    <row r="14" spans="2:10" x14ac:dyDescent="0.2">
      <c r="F14" s="72"/>
    </row>
    <row r="15" spans="2:10" x14ac:dyDescent="0.2">
      <c r="F15" s="7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56"/>
  <sheetViews>
    <sheetView tabSelected="1" view="pageBreakPreview" topLeftCell="A26" zoomScale="75" zoomScaleNormal="83" zoomScaleSheetLayoutView="39" workbookViewId="0">
      <selection activeCell="J40" sqref="J40"/>
    </sheetView>
  </sheetViews>
  <sheetFormatPr baseColWidth="10" defaultColWidth="10.83203125" defaultRowHeight="16" x14ac:dyDescent="0.2"/>
  <cols>
    <col min="1" max="1" width="3.83203125" style="4" customWidth="1"/>
    <col min="2" max="2" width="21.5" style="5" customWidth="1"/>
    <col min="3" max="3" width="26.1640625" style="5" customWidth="1"/>
    <col min="4" max="4" width="24.83203125" style="5" bestFit="1" customWidth="1"/>
    <col min="5" max="5" width="23.5" style="5" customWidth="1"/>
    <col min="6" max="6" width="25" style="5" bestFit="1" customWidth="1"/>
    <col min="7" max="7" width="34.33203125" style="5" bestFit="1" customWidth="1"/>
    <col min="8" max="9" width="24.83203125" style="5" customWidth="1"/>
    <col min="10" max="11" width="17.6640625" style="5" customWidth="1"/>
    <col min="12" max="12" width="18.1640625" style="5" customWidth="1"/>
    <col min="13" max="13" width="44" style="6" bestFit="1" customWidth="1"/>
    <col min="14" max="14" width="15.1640625" style="5" customWidth="1"/>
    <col min="15" max="15" width="23.83203125" style="7" customWidth="1"/>
    <col min="22" max="16384" width="10.83203125" style="8"/>
  </cols>
  <sheetData>
    <row r="1" spans="1:21" x14ac:dyDescent="0.2">
      <c r="B1" s="10" t="s">
        <v>41</v>
      </c>
    </row>
    <row r="3" spans="1:21" x14ac:dyDescent="0.2">
      <c r="A3" s="5"/>
      <c r="B3" s="9" t="s">
        <v>1</v>
      </c>
      <c r="C3" s="5" t="s">
        <v>2</v>
      </c>
    </row>
    <row r="4" spans="1:21" x14ac:dyDescent="0.2">
      <c r="B4" s="9" t="s">
        <v>3</v>
      </c>
      <c r="C4" s="5" t="s">
        <v>4</v>
      </c>
    </row>
    <row r="5" spans="1:21" x14ac:dyDescent="0.2">
      <c r="B5" s="9" t="s">
        <v>5</v>
      </c>
      <c r="C5" s="10" t="s">
        <v>14</v>
      </c>
      <c r="D5" s="10"/>
      <c r="E5" s="10"/>
      <c r="F5" s="10"/>
      <c r="G5" s="10"/>
      <c r="H5" s="10"/>
      <c r="I5" s="10"/>
      <c r="J5" s="10"/>
      <c r="K5" s="10"/>
      <c r="L5" s="10"/>
    </row>
    <row r="6" spans="1:21" x14ac:dyDescent="0.2">
      <c r="A6" s="5"/>
      <c r="B6" s="9" t="s">
        <v>7</v>
      </c>
      <c r="C6" s="5">
        <v>612.70000000000005</v>
      </c>
      <c r="E6" s="10" t="s">
        <v>8</v>
      </c>
    </row>
    <row r="7" spans="1:21" x14ac:dyDescent="0.2">
      <c r="A7" s="5"/>
      <c r="B7" s="9" t="s">
        <v>15</v>
      </c>
      <c r="C7" s="11">
        <v>23098789</v>
      </c>
      <c r="E7" s="5" t="s">
        <v>78</v>
      </c>
      <c r="L7" s="79"/>
    </row>
    <row r="8" spans="1:21" x14ac:dyDescent="0.2">
      <c r="A8" s="5"/>
      <c r="B8" s="9" t="s">
        <v>16</v>
      </c>
      <c r="C8" s="11">
        <v>8023690450</v>
      </c>
    </row>
    <row r="9" spans="1:21" x14ac:dyDescent="0.2">
      <c r="A9" s="5"/>
      <c r="B9" s="9" t="s">
        <v>17</v>
      </c>
      <c r="C9" s="11">
        <f>C6*C7+C8</f>
        <v>22176318470.300003</v>
      </c>
    </row>
    <row r="10" spans="1:21" ht="17" thickBot="1" x14ac:dyDescent="0.25"/>
    <row r="11" spans="1:21" s="113" customFormat="1" ht="13.5" customHeight="1" x14ac:dyDescent="0.2">
      <c r="A11" s="111"/>
      <c r="B11" s="215" t="s">
        <v>18</v>
      </c>
      <c r="C11" s="216"/>
      <c r="D11" s="215" t="s">
        <v>19</v>
      </c>
      <c r="E11" s="216"/>
      <c r="F11" s="215" t="s">
        <v>20</v>
      </c>
      <c r="G11" s="216"/>
      <c r="H11" s="215" t="s">
        <v>21</v>
      </c>
      <c r="I11" s="216"/>
      <c r="J11" s="215" t="s">
        <v>22</v>
      </c>
      <c r="K11" s="216"/>
      <c r="L11" s="112" t="s">
        <v>23</v>
      </c>
      <c r="M11" s="217" t="s">
        <v>24</v>
      </c>
      <c r="N11" s="213" t="s">
        <v>25</v>
      </c>
      <c r="O11" s="213" t="s">
        <v>26</v>
      </c>
      <c r="P11"/>
      <c r="Q11"/>
      <c r="R11"/>
      <c r="S11"/>
      <c r="T11"/>
      <c r="U11"/>
    </row>
    <row r="12" spans="1:21" s="113" customFormat="1" x14ac:dyDescent="0.2">
      <c r="A12" s="111" t="s">
        <v>27</v>
      </c>
      <c r="B12" s="114" t="s">
        <v>28</v>
      </c>
      <c r="C12" s="115" t="s">
        <v>29</v>
      </c>
      <c r="D12" s="114" t="s">
        <v>28</v>
      </c>
      <c r="E12" s="115" t="s">
        <v>29</v>
      </c>
      <c r="F12" s="114" t="s">
        <v>28</v>
      </c>
      <c r="G12" s="115" t="s">
        <v>29</v>
      </c>
      <c r="H12" s="114" t="s">
        <v>28</v>
      </c>
      <c r="I12" s="115" t="s">
        <v>29</v>
      </c>
      <c r="J12" s="114" t="s">
        <v>28</v>
      </c>
      <c r="K12" s="115" t="s">
        <v>29</v>
      </c>
      <c r="L12" s="116" t="s">
        <v>29</v>
      </c>
      <c r="M12" s="218"/>
      <c r="N12" s="214"/>
      <c r="O12" s="214"/>
      <c r="P12"/>
      <c r="Q12"/>
      <c r="R12"/>
      <c r="S12"/>
      <c r="T12"/>
      <c r="U12"/>
    </row>
    <row r="13" spans="1:21" s="21" customFormat="1" x14ac:dyDescent="0.2">
      <c r="A13" s="221">
        <v>0</v>
      </c>
      <c r="B13" s="33">
        <f>C7</f>
        <v>23098789</v>
      </c>
      <c r="C13" s="34"/>
      <c r="D13" s="17"/>
      <c r="E13" s="16"/>
      <c r="F13" s="17"/>
      <c r="G13" s="16"/>
      <c r="H13" s="183"/>
      <c r="I13" s="16"/>
      <c r="J13" s="17"/>
      <c r="K13" s="16"/>
      <c r="L13" s="19"/>
      <c r="M13" s="18"/>
      <c r="N13" s="19"/>
      <c r="O13" s="20"/>
      <c r="P13"/>
      <c r="Q13"/>
      <c r="R13"/>
      <c r="S13"/>
      <c r="T13"/>
      <c r="U13"/>
    </row>
    <row r="14" spans="1:21" s="21" customFormat="1" ht="17" thickBot="1" x14ac:dyDescent="0.25">
      <c r="A14" s="221"/>
      <c r="B14" s="117"/>
      <c r="C14" s="118">
        <f>C8</f>
        <v>8023690450</v>
      </c>
      <c r="D14" s="117"/>
      <c r="E14" s="119"/>
      <c r="F14" s="117"/>
      <c r="G14" s="119"/>
      <c r="H14" s="184"/>
      <c r="I14" s="121"/>
      <c r="J14" s="120"/>
      <c r="K14" s="121"/>
      <c r="L14" s="122"/>
      <c r="M14" s="83"/>
      <c r="N14" s="122"/>
      <c r="O14" s="123"/>
      <c r="P14"/>
      <c r="Q14"/>
      <c r="R14"/>
      <c r="S14"/>
      <c r="T14"/>
      <c r="U14"/>
    </row>
    <row r="15" spans="1:21" s="21" customFormat="1" ht="51" x14ac:dyDescent="0.2">
      <c r="A15" s="221">
        <v>1</v>
      </c>
      <c r="B15" s="124"/>
      <c r="C15" s="125"/>
      <c r="D15" s="126">
        <f>17780950*25%</f>
        <v>4445237.5</v>
      </c>
      <c r="E15" s="127"/>
      <c r="F15" s="128">
        <f>D15</f>
        <v>4445237.5</v>
      </c>
      <c r="G15" s="129"/>
      <c r="H15" s="185"/>
      <c r="I15" s="125"/>
      <c r="J15" s="124"/>
      <c r="K15" s="125"/>
      <c r="L15" s="130"/>
      <c r="M15" s="138" t="s">
        <v>30</v>
      </c>
      <c r="N15" s="139">
        <v>45322</v>
      </c>
      <c r="O15" s="140" t="s">
        <v>31</v>
      </c>
      <c r="P15"/>
      <c r="Q15"/>
      <c r="R15"/>
      <c r="S15"/>
      <c r="T15"/>
      <c r="U15"/>
    </row>
    <row r="16" spans="1:21" s="21" customFormat="1" ht="52" thickBot="1" x14ac:dyDescent="0.25">
      <c r="A16" s="221"/>
      <c r="B16" s="131"/>
      <c r="C16" s="132"/>
      <c r="D16" s="133"/>
      <c r="E16" s="134">
        <f>6176103890*25%</f>
        <v>1544025972.5</v>
      </c>
      <c r="F16" s="135"/>
      <c r="G16" s="136">
        <f>E16</f>
        <v>1544025972.5</v>
      </c>
      <c r="H16" s="186"/>
      <c r="I16" s="136"/>
      <c r="J16" s="131"/>
      <c r="K16" s="132"/>
      <c r="L16" s="137"/>
      <c r="M16" s="141" t="s">
        <v>32</v>
      </c>
      <c r="N16" s="142">
        <v>45322</v>
      </c>
      <c r="O16" s="143" t="s">
        <v>31</v>
      </c>
      <c r="P16"/>
      <c r="Q16"/>
      <c r="R16"/>
      <c r="S16"/>
      <c r="T16"/>
      <c r="U16"/>
    </row>
    <row r="17" spans="1:21" s="21" customFormat="1" ht="51" x14ac:dyDescent="0.2">
      <c r="A17" s="221">
        <v>2</v>
      </c>
      <c r="B17" s="124"/>
      <c r="C17" s="125"/>
      <c r="D17" s="144">
        <v>0</v>
      </c>
      <c r="E17" s="145"/>
      <c r="F17" s="128">
        <f>75%*D17</f>
        <v>0</v>
      </c>
      <c r="G17" s="125"/>
      <c r="H17" s="187">
        <f>E17*25%</f>
        <v>0</v>
      </c>
      <c r="I17" s="146"/>
      <c r="J17" s="124"/>
      <c r="K17" s="125"/>
      <c r="L17" s="130">
        <f>18%*G17</f>
        <v>0</v>
      </c>
      <c r="M17" s="147"/>
      <c r="N17" s="139">
        <v>45698</v>
      </c>
      <c r="O17" s="140" t="s">
        <v>33</v>
      </c>
      <c r="P17"/>
      <c r="Q17"/>
      <c r="R17"/>
      <c r="S17"/>
      <c r="T17"/>
      <c r="U17"/>
    </row>
    <row r="18" spans="1:21" ht="52" thickBot="1" x14ac:dyDescent="0.25">
      <c r="A18" s="221"/>
      <c r="B18" s="26"/>
      <c r="C18" s="27"/>
      <c r="D18" s="133"/>
      <c r="E18" s="134">
        <v>95733000</v>
      </c>
      <c r="F18" s="133"/>
      <c r="G18" s="148">
        <f>75%*E18</f>
        <v>71799750</v>
      </c>
      <c r="H18" s="188"/>
      <c r="I18" s="88">
        <f>E18*25%</f>
        <v>23933250</v>
      </c>
      <c r="J18" s="26"/>
      <c r="K18" s="27"/>
      <c r="L18" s="137"/>
      <c r="M18" s="141" t="s">
        <v>34</v>
      </c>
      <c r="N18" s="149">
        <v>45698</v>
      </c>
      <c r="O18" s="150" t="s">
        <v>33</v>
      </c>
    </row>
    <row r="19" spans="1:21" s="155" customFormat="1" ht="69" thickBot="1" x14ac:dyDescent="0.25">
      <c r="A19" s="153"/>
      <c r="B19" s="154"/>
      <c r="C19" s="158"/>
      <c r="D19" s="159">
        <v>776845</v>
      </c>
      <c r="E19" s="159"/>
      <c r="F19" s="181">
        <f>65%*D19</f>
        <v>504949.25</v>
      </c>
      <c r="G19" s="148">
        <f t="shared" ref="G19:G31" si="0">75%*E19</f>
        <v>0</v>
      </c>
      <c r="H19" s="189">
        <f t="shared" ref="H19:H25" si="1">25%*D19</f>
        <v>194211.25</v>
      </c>
      <c r="I19" s="88">
        <f t="shared" ref="I19:I36" si="2">E19*25%</f>
        <v>0</v>
      </c>
      <c r="J19" s="160"/>
      <c r="K19" s="158"/>
      <c r="L19" s="161"/>
      <c r="M19" s="162" t="s">
        <v>57</v>
      </c>
      <c r="N19" s="163">
        <v>45826</v>
      </c>
      <c r="O19" s="164" t="s">
        <v>58</v>
      </c>
      <c r="P19"/>
      <c r="Q19"/>
      <c r="R19"/>
      <c r="S19"/>
      <c r="T19"/>
      <c r="U19"/>
    </row>
    <row r="20" spans="1:21" ht="69" thickBot="1" x14ac:dyDescent="0.25">
      <c r="A20" s="156"/>
      <c r="B20" s="157"/>
      <c r="C20" s="24"/>
      <c r="D20" s="36">
        <v>902447.72</v>
      </c>
      <c r="E20" s="165"/>
      <c r="F20" s="181">
        <f>65%*D20</f>
        <v>586591.01800000004</v>
      </c>
      <c r="G20" s="148">
        <f t="shared" si="0"/>
        <v>0</v>
      </c>
      <c r="H20" s="189">
        <f t="shared" si="1"/>
        <v>225611.93</v>
      </c>
      <c r="I20" s="88">
        <f t="shared" si="2"/>
        <v>0</v>
      </c>
      <c r="J20" s="23"/>
      <c r="K20" s="24"/>
      <c r="L20" s="89"/>
      <c r="M20" s="18" t="s">
        <v>60</v>
      </c>
      <c r="N20" s="163">
        <v>45826</v>
      </c>
      <c r="O20" s="76" t="s">
        <v>59</v>
      </c>
    </row>
    <row r="21" spans="1:21" ht="103" thickBot="1" x14ac:dyDescent="0.25">
      <c r="A21" s="25"/>
      <c r="B21" s="23"/>
      <c r="C21" s="24"/>
      <c r="D21" s="36">
        <v>1076000</v>
      </c>
      <c r="E21" s="166"/>
      <c r="F21" s="181">
        <f t="shared" ref="F21:F22" si="3">65%*D21</f>
        <v>699400</v>
      </c>
      <c r="G21" s="148">
        <f t="shared" si="0"/>
        <v>0</v>
      </c>
      <c r="H21" s="189">
        <f t="shared" si="1"/>
        <v>269000</v>
      </c>
      <c r="I21" s="88">
        <f t="shared" si="2"/>
        <v>0</v>
      </c>
      <c r="J21" s="23"/>
      <c r="K21" s="24"/>
      <c r="L21" s="89"/>
      <c r="M21" s="18" t="s">
        <v>61</v>
      </c>
      <c r="N21" s="163">
        <v>45874</v>
      </c>
      <c r="O21" s="76" t="s">
        <v>62</v>
      </c>
    </row>
    <row r="22" spans="1:21" ht="86" thickBot="1" x14ac:dyDescent="0.25">
      <c r="A22" s="25"/>
      <c r="B22" s="81"/>
      <c r="C22" s="82"/>
      <c r="D22" s="167">
        <v>1218000</v>
      </c>
      <c r="E22" s="168"/>
      <c r="F22" s="181">
        <f t="shared" si="3"/>
        <v>791700</v>
      </c>
      <c r="G22" s="148">
        <f t="shared" si="0"/>
        <v>0</v>
      </c>
      <c r="H22" s="189">
        <f t="shared" si="1"/>
        <v>304500</v>
      </c>
      <c r="I22" s="88">
        <f t="shared" si="2"/>
        <v>0</v>
      </c>
      <c r="J22" s="81"/>
      <c r="K22" s="82"/>
      <c r="L22" s="89"/>
      <c r="M22" s="18" t="s">
        <v>63</v>
      </c>
      <c r="N22" s="163">
        <v>45874</v>
      </c>
      <c r="O22" s="76" t="s">
        <v>64</v>
      </c>
    </row>
    <row r="23" spans="1:21" ht="86" thickBot="1" x14ac:dyDescent="0.25">
      <c r="A23" s="25"/>
      <c r="B23" s="81"/>
      <c r="C23" s="82"/>
      <c r="D23" s="167">
        <v>3097716</v>
      </c>
      <c r="E23" s="168"/>
      <c r="F23" s="167">
        <f>65%*D23</f>
        <v>2013515.4000000001</v>
      </c>
      <c r="G23" s="148">
        <f t="shared" si="0"/>
        <v>0</v>
      </c>
      <c r="H23" s="190">
        <f t="shared" si="1"/>
        <v>774429</v>
      </c>
      <c r="I23" s="88">
        <f t="shared" si="2"/>
        <v>0</v>
      </c>
      <c r="J23" s="81"/>
      <c r="K23" s="82"/>
      <c r="L23" s="89"/>
      <c r="M23" s="18" t="s">
        <v>65</v>
      </c>
      <c r="N23" s="84">
        <v>45894</v>
      </c>
      <c r="O23" s="85" t="s">
        <v>66</v>
      </c>
    </row>
    <row r="24" spans="1:21" ht="69" thickBot="1" x14ac:dyDescent="0.25">
      <c r="A24" s="25"/>
      <c r="B24" s="26"/>
      <c r="C24" s="27"/>
      <c r="D24" s="174">
        <v>1204089</v>
      </c>
      <c r="E24" s="175"/>
      <c r="F24" s="182">
        <f>65%*D24</f>
        <v>782657.85</v>
      </c>
      <c r="G24" s="148">
        <f t="shared" si="0"/>
        <v>0</v>
      </c>
      <c r="H24" s="191">
        <f t="shared" si="1"/>
        <v>301022.25</v>
      </c>
      <c r="I24" s="88">
        <f t="shared" si="2"/>
        <v>0</v>
      </c>
      <c r="J24" s="174"/>
      <c r="K24" s="175"/>
      <c r="L24" s="176"/>
      <c r="M24" s="177" t="s">
        <v>67</v>
      </c>
      <c r="N24" s="179">
        <v>45923</v>
      </c>
      <c r="O24" s="178" t="s">
        <v>68</v>
      </c>
    </row>
    <row r="25" spans="1:21" ht="103" thickBot="1" x14ac:dyDescent="0.25">
      <c r="A25" s="25"/>
      <c r="B25" s="26"/>
      <c r="C25" s="27"/>
      <c r="D25" s="174">
        <v>1062526</v>
      </c>
      <c r="E25" s="175"/>
      <c r="F25" s="182">
        <f>65%*D25</f>
        <v>690641.9</v>
      </c>
      <c r="G25" s="148">
        <f t="shared" si="0"/>
        <v>0</v>
      </c>
      <c r="H25" s="191">
        <f t="shared" si="1"/>
        <v>265631.5</v>
      </c>
      <c r="I25" s="88">
        <f t="shared" si="2"/>
        <v>0</v>
      </c>
      <c r="J25" s="169"/>
      <c r="K25" s="170"/>
      <c r="L25" s="171"/>
      <c r="M25" s="172" t="s">
        <v>70</v>
      </c>
      <c r="N25" s="180">
        <v>45957</v>
      </c>
      <c r="O25" s="173" t="s">
        <v>69</v>
      </c>
    </row>
    <row r="26" spans="1:21" ht="103" thickBot="1" x14ac:dyDescent="0.25">
      <c r="A26" s="25"/>
      <c r="B26" s="26"/>
      <c r="C26" s="27"/>
      <c r="D26" s="174">
        <v>406175</v>
      </c>
      <c r="E26" s="175"/>
      <c r="F26" s="182">
        <f>65%*D26</f>
        <v>264013.75</v>
      </c>
      <c r="G26" s="148">
        <f t="shared" si="0"/>
        <v>0</v>
      </c>
      <c r="H26" s="191">
        <f t="shared" ref="H26:H29" si="4">25%*D26</f>
        <v>101543.75</v>
      </c>
      <c r="I26" s="88">
        <f t="shared" si="2"/>
        <v>0</v>
      </c>
      <c r="J26" s="169"/>
      <c r="K26" s="170"/>
      <c r="L26" s="171"/>
      <c r="M26" s="172" t="s">
        <v>71</v>
      </c>
      <c r="N26" s="180">
        <v>45981</v>
      </c>
      <c r="O26" s="173" t="s">
        <v>69</v>
      </c>
    </row>
    <row r="27" spans="1:21" ht="103" thickBot="1" x14ac:dyDescent="0.25">
      <c r="A27" s="25"/>
      <c r="B27" s="26"/>
      <c r="C27" s="27"/>
      <c r="D27" s="174">
        <v>337500</v>
      </c>
      <c r="E27" s="175"/>
      <c r="F27" s="182">
        <f t="shared" ref="F27:F29" si="5">65%*D27</f>
        <v>219375</v>
      </c>
      <c r="G27" s="148">
        <f t="shared" si="0"/>
        <v>0</v>
      </c>
      <c r="H27" s="191">
        <f t="shared" si="4"/>
        <v>84375</v>
      </c>
      <c r="I27" s="88">
        <f t="shared" si="2"/>
        <v>0</v>
      </c>
      <c r="J27" s="169"/>
      <c r="K27" s="170"/>
      <c r="L27" s="171"/>
      <c r="M27" s="172" t="s">
        <v>72</v>
      </c>
      <c r="N27" s="180">
        <v>46069</v>
      </c>
      <c r="O27" s="173" t="s">
        <v>73</v>
      </c>
    </row>
    <row r="28" spans="1:21" ht="103" thickBot="1" x14ac:dyDescent="0.25">
      <c r="A28" s="192"/>
      <c r="B28" s="81"/>
      <c r="C28" s="82"/>
      <c r="D28" s="198">
        <v>2635335</v>
      </c>
      <c r="E28" s="239"/>
      <c r="F28" s="241">
        <f t="shared" si="5"/>
        <v>1712967.75</v>
      </c>
      <c r="G28" s="242">
        <f t="shared" si="0"/>
        <v>0</v>
      </c>
      <c r="H28" s="238">
        <f t="shared" si="4"/>
        <v>658833.75</v>
      </c>
      <c r="I28" s="243">
        <f t="shared" si="2"/>
        <v>0</v>
      </c>
      <c r="J28" s="235"/>
      <c r="K28" s="193"/>
      <c r="L28" s="244"/>
      <c r="M28" s="245" t="s">
        <v>74</v>
      </c>
      <c r="N28" s="246">
        <v>46069</v>
      </c>
      <c r="O28" s="247" t="s">
        <v>73</v>
      </c>
    </row>
    <row r="29" spans="1:21" ht="102" x14ac:dyDescent="0.2">
      <c r="A29" s="258"/>
      <c r="B29" s="259"/>
      <c r="C29" s="260"/>
      <c r="D29" s="261">
        <v>528474</v>
      </c>
      <c r="E29" s="262"/>
      <c r="F29" s="263">
        <f t="shared" si="5"/>
        <v>343508.10000000003</v>
      </c>
      <c r="G29" s="264">
        <f t="shared" si="0"/>
        <v>0</v>
      </c>
      <c r="H29" s="265">
        <f t="shared" si="4"/>
        <v>132118.5</v>
      </c>
      <c r="I29" s="266">
        <f t="shared" si="2"/>
        <v>0</v>
      </c>
      <c r="J29" s="267"/>
      <c r="K29" s="268"/>
      <c r="L29" s="201"/>
      <c r="M29" s="202" t="s">
        <v>75</v>
      </c>
      <c r="N29" s="203">
        <v>46069</v>
      </c>
      <c r="O29" s="204" t="s">
        <v>73</v>
      </c>
    </row>
    <row r="30" spans="1:21" ht="51" x14ac:dyDescent="0.2">
      <c r="A30" s="269"/>
      <c r="B30" s="194"/>
      <c r="C30" s="194"/>
      <c r="D30" s="199">
        <v>349110</v>
      </c>
      <c r="E30" s="199"/>
      <c r="F30" s="250">
        <f t="shared" ref="F30:F35" si="6">65%*D30</f>
        <v>226921.5</v>
      </c>
      <c r="G30" s="251">
        <f t="shared" si="0"/>
        <v>0</v>
      </c>
      <c r="H30" s="240">
        <f t="shared" ref="H30:H35" si="7">25%*D30</f>
        <v>87277.5</v>
      </c>
      <c r="I30" s="252">
        <f t="shared" si="2"/>
        <v>0</v>
      </c>
      <c r="J30" s="199"/>
      <c r="K30" s="199"/>
      <c r="L30" s="199"/>
      <c r="M30" s="253" t="s">
        <v>76</v>
      </c>
      <c r="N30" s="254">
        <v>46104</v>
      </c>
      <c r="O30" s="270" t="s">
        <v>77</v>
      </c>
    </row>
    <row r="31" spans="1:21" ht="34" x14ac:dyDescent="0.2">
      <c r="A31" s="269"/>
      <c r="B31" s="194"/>
      <c r="C31" s="194"/>
      <c r="D31" s="199"/>
      <c r="E31" s="199">
        <v>91397295</v>
      </c>
      <c r="F31" s="250">
        <f t="shared" si="6"/>
        <v>0</v>
      </c>
      <c r="G31" s="251">
        <f t="shared" si="0"/>
        <v>68547971.25</v>
      </c>
      <c r="H31" s="240">
        <f t="shared" si="7"/>
        <v>0</v>
      </c>
      <c r="I31" s="252">
        <f t="shared" si="2"/>
        <v>22849323.75</v>
      </c>
      <c r="J31" s="199"/>
      <c r="K31" s="199"/>
      <c r="L31" s="199"/>
      <c r="M31" s="253" t="s">
        <v>79</v>
      </c>
      <c r="N31" s="254">
        <v>46132</v>
      </c>
      <c r="O31" s="270" t="s">
        <v>80</v>
      </c>
      <c r="P31" s="237"/>
      <c r="Q31" s="237"/>
      <c r="R31" s="237"/>
      <c r="S31" s="237"/>
      <c r="T31" s="237"/>
      <c r="U31" s="237"/>
    </row>
    <row r="32" spans="1:21" ht="34" x14ac:dyDescent="0.2">
      <c r="A32" s="269"/>
      <c r="B32" s="194"/>
      <c r="C32" s="194"/>
      <c r="D32" s="199"/>
      <c r="E32" s="199">
        <v>425461490</v>
      </c>
      <c r="F32" s="250">
        <f t="shared" si="6"/>
        <v>0</v>
      </c>
      <c r="G32" s="251">
        <f>65%*E32</f>
        <v>276549968.5</v>
      </c>
      <c r="H32" s="240">
        <f t="shared" si="7"/>
        <v>0</v>
      </c>
      <c r="I32" s="252">
        <f t="shared" si="2"/>
        <v>106365372.5</v>
      </c>
      <c r="J32" s="199"/>
      <c r="K32" s="199"/>
      <c r="L32" s="199"/>
      <c r="M32" s="253" t="s">
        <v>81</v>
      </c>
      <c r="N32" s="254">
        <v>46132</v>
      </c>
      <c r="O32" s="270" t="s">
        <v>82</v>
      </c>
      <c r="P32" s="237"/>
      <c r="Q32" s="237"/>
      <c r="R32" s="237"/>
      <c r="S32" s="237"/>
      <c r="T32" s="237"/>
      <c r="U32" s="237"/>
    </row>
    <row r="33" spans="1:21" ht="68" x14ac:dyDescent="0.2">
      <c r="A33" s="269"/>
      <c r="B33" s="194"/>
      <c r="C33" s="194"/>
      <c r="D33" s="199"/>
      <c r="E33" s="199">
        <v>1847586560</v>
      </c>
      <c r="F33" s="250">
        <f t="shared" si="6"/>
        <v>0</v>
      </c>
      <c r="G33" s="251">
        <f t="shared" ref="G33:G35" si="8">65%*E33</f>
        <v>1200931264</v>
      </c>
      <c r="H33" s="240">
        <f t="shared" si="7"/>
        <v>0</v>
      </c>
      <c r="I33" s="252"/>
      <c r="J33" s="199"/>
      <c r="K33" s="199"/>
      <c r="L33" s="199"/>
      <c r="M33" s="253" t="s">
        <v>83</v>
      </c>
      <c r="N33" s="254">
        <v>46135</v>
      </c>
      <c r="O33" s="270" t="s">
        <v>85</v>
      </c>
      <c r="P33" s="237"/>
      <c r="Q33" s="237"/>
      <c r="R33" s="237"/>
      <c r="S33" s="237"/>
      <c r="T33" s="237"/>
      <c r="U33" s="237"/>
    </row>
    <row r="34" spans="1:21" s="197" customFormat="1" ht="68" x14ac:dyDescent="0.2">
      <c r="A34" s="269"/>
      <c r="B34" s="194"/>
      <c r="C34" s="194"/>
      <c r="D34" s="200">
        <v>5317839</v>
      </c>
      <c r="E34" s="199"/>
      <c r="F34" s="250">
        <f t="shared" si="6"/>
        <v>3456595.35</v>
      </c>
      <c r="G34" s="251">
        <f t="shared" si="8"/>
        <v>0</v>
      </c>
      <c r="H34" s="240"/>
      <c r="I34" s="252">
        <f t="shared" si="2"/>
        <v>0</v>
      </c>
      <c r="J34" s="199"/>
      <c r="K34" s="199"/>
      <c r="L34" s="199"/>
      <c r="M34" s="253" t="s">
        <v>84</v>
      </c>
      <c r="N34" s="254">
        <v>46135</v>
      </c>
      <c r="O34" s="270" t="s">
        <v>86</v>
      </c>
      <c r="P34" s="237"/>
      <c r="Q34" s="237"/>
      <c r="R34" s="237"/>
      <c r="S34" s="237"/>
      <c r="T34" s="237"/>
      <c r="U34" s="237"/>
    </row>
    <row r="35" spans="1:21" s="155" customFormat="1" ht="34" x14ac:dyDescent="0.2">
      <c r="A35" s="277"/>
      <c r="B35" s="236"/>
      <c r="C35" s="236"/>
      <c r="D35" s="195"/>
      <c r="E35" s="195">
        <v>32640000</v>
      </c>
      <c r="F35" s="255">
        <f t="shared" si="6"/>
        <v>0</v>
      </c>
      <c r="G35" s="279">
        <f t="shared" si="8"/>
        <v>21216000</v>
      </c>
      <c r="H35" s="196">
        <f t="shared" si="7"/>
        <v>0</v>
      </c>
      <c r="I35" s="280">
        <f t="shared" si="2"/>
        <v>8160000</v>
      </c>
      <c r="J35" s="195"/>
      <c r="K35" s="195"/>
      <c r="L35" s="195"/>
      <c r="M35" s="256" t="s">
        <v>87</v>
      </c>
      <c r="N35" s="257">
        <v>46160</v>
      </c>
      <c r="O35" s="278" t="s">
        <v>88</v>
      </c>
      <c r="P35" s="281"/>
      <c r="Q35" s="281"/>
      <c r="R35" s="281"/>
      <c r="S35" s="281"/>
      <c r="T35" s="281"/>
      <c r="U35" s="281"/>
    </row>
    <row r="36" spans="1:21" ht="17" thickBot="1" x14ac:dyDescent="0.25">
      <c r="A36" s="271"/>
      <c r="B36" s="272"/>
      <c r="C36" s="272"/>
      <c r="D36" s="205"/>
      <c r="E36" s="205"/>
      <c r="F36" s="273"/>
      <c r="G36" s="205"/>
      <c r="H36" s="274"/>
      <c r="I36" s="252">
        <f t="shared" si="2"/>
        <v>0</v>
      </c>
      <c r="J36" s="205"/>
      <c r="K36" s="205"/>
      <c r="L36" s="205"/>
      <c r="M36" s="206"/>
      <c r="N36" s="275"/>
      <c r="O36" s="276"/>
    </row>
    <row r="37" spans="1:21" ht="14.5" customHeight="1" x14ac:dyDescent="0.2">
      <c r="B37" s="248" t="s">
        <v>35</v>
      </c>
      <c r="C37" s="249"/>
      <c r="D37" s="249"/>
      <c r="E37" s="249"/>
      <c r="F37" s="282">
        <f>SUM(F13:F36)</f>
        <v>16738074.367999999</v>
      </c>
      <c r="G37" s="283"/>
      <c r="J37" s="79"/>
    </row>
    <row r="38" spans="1:21" ht="17" thickBot="1" x14ac:dyDescent="0.25">
      <c r="B38" s="210"/>
      <c r="C38" s="211"/>
      <c r="D38" s="211"/>
      <c r="E38" s="211"/>
      <c r="F38" s="284"/>
      <c r="G38" s="285">
        <f>SUM(G13:G36)</f>
        <v>3183070926.25</v>
      </c>
    </row>
    <row r="39" spans="1:21" ht="14.5" customHeight="1" x14ac:dyDescent="0.2">
      <c r="B39" s="207" t="s">
        <v>36</v>
      </c>
      <c r="C39" s="208"/>
      <c r="D39" s="208"/>
      <c r="E39" s="208"/>
      <c r="F39" s="286">
        <f>+F37/B13</f>
        <v>0.72462995215896375</v>
      </c>
      <c r="G39" s="287"/>
    </row>
    <row r="40" spans="1:21" ht="17" thickBot="1" x14ac:dyDescent="0.25">
      <c r="B40" s="210"/>
      <c r="C40" s="211"/>
      <c r="D40" s="211"/>
      <c r="E40" s="211"/>
      <c r="F40" s="288"/>
      <c r="G40" s="289">
        <f>+G38/C14</f>
        <v>0.39670908867751747</v>
      </c>
    </row>
    <row r="41" spans="1:21" ht="26" customHeight="1" thickBot="1" x14ac:dyDescent="0.25">
      <c r="B41" s="224" t="s">
        <v>37</v>
      </c>
      <c r="C41" s="225"/>
      <c r="D41" s="225"/>
      <c r="E41" s="225"/>
      <c r="F41" s="219">
        <f>F37*C6+G38</f>
        <v>13438489091.5236</v>
      </c>
      <c r="G41" s="220"/>
    </row>
    <row r="42" spans="1:21" ht="14.5" customHeight="1" x14ac:dyDescent="0.2">
      <c r="B42" s="207" t="s">
        <v>38</v>
      </c>
      <c r="C42" s="208"/>
      <c r="D42" s="208"/>
      <c r="E42" s="208"/>
      <c r="F42" s="38">
        <f>B13-F37</f>
        <v>6360714.6320000011</v>
      </c>
      <c r="G42" s="39"/>
    </row>
    <row r="43" spans="1:21" ht="17" thickBot="1" x14ac:dyDescent="0.25">
      <c r="B43" s="222"/>
      <c r="C43" s="223"/>
      <c r="D43" s="223"/>
      <c r="E43" s="223"/>
      <c r="F43" s="41"/>
      <c r="G43" s="42">
        <f>C14-G38</f>
        <v>4840619523.75</v>
      </c>
    </row>
    <row r="44" spans="1:21" ht="14.5" customHeight="1" x14ac:dyDescent="0.2">
      <c r="B44" s="207" t="s">
        <v>39</v>
      </c>
      <c r="C44" s="208"/>
      <c r="D44" s="208"/>
      <c r="E44" s="208"/>
      <c r="F44" s="208"/>
      <c r="G44" s="209"/>
      <c r="H44" s="151">
        <f>D15-SUM(H13:H36)</f>
        <v>1046683.0700000003</v>
      </c>
      <c r="I44" s="39"/>
    </row>
    <row r="45" spans="1:21" ht="17" thickBot="1" x14ac:dyDescent="0.25">
      <c r="B45" s="210"/>
      <c r="C45" s="211"/>
      <c r="D45" s="211"/>
      <c r="E45" s="211"/>
      <c r="F45" s="211"/>
      <c r="G45" s="212"/>
      <c r="H45" s="152"/>
      <c r="I45" s="45">
        <f>E16-SUM(I13:I36)</f>
        <v>1382718026.25</v>
      </c>
    </row>
    <row r="48" spans="1:21" x14ac:dyDescent="0.2">
      <c r="H48" s="31" t="s">
        <v>40</v>
      </c>
      <c r="I48" s="31"/>
    </row>
    <row r="56" spans="9:9" x14ac:dyDescent="0.2">
      <c r="I56" s="32"/>
    </row>
  </sheetData>
  <mergeCells count="17">
    <mergeCell ref="A15:A16"/>
    <mergeCell ref="A13:A14"/>
    <mergeCell ref="B37:E38"/>
    <mergeCell ref="B39:E40"/>
    <mergeCell ref="B42:E43"/>
    <mergeCell ref="A17:A18"/>
    <mergeCell ref="B41:E41"/>
    <mergeCell ref="B44:G45"/>
    <mergeCell ref="N11:N12"/>
    <mergeCell ref="O11:O12"/>
    <mergeCell ref="B11:C11"/>
    <mergeCell ref="D11:E11"/>
    <mergeCell ref="H11:I11"/>
    <mergeCell ref="J11:K11"/>
    <mergeCell ref="F11:G11"/>
    <mergeCell ref="M11:M12"/>
    <mergeCell ref="F41:G41"/>
  </mergeCells>
  <phoneticPr fontId="3" type="noConversion"/>
  <pageMargins left="0.25" right="0.25" top="0.75" bottom="0.75" header="0.3" footer="0.3"/>
  <pageSetup paperSize="9" scale="38" fitToHeight="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7"/>
  <sheetViews>
    <sheetView view="pageBreakPreview" topLeftCell="A4" zoomScale="80" zoomScaleNormal="100" zoomScaleSheetLayoutView="80" workbookViewId="0">
      <selection activeCell="L31" sqref="L31"/>
    </sheetView>
  </sheetViews>
  <sheetFormatPr baseColWidth="10" defaultColWidth="10.83203125" defaultRowHeight="16" x14ac:dyDescent="0.2"/>
  <cols>
    <col min="1" max="1" width="2.83203125" style="4" bestFit="1" customWidth="1"/>
    <col min="2" max="2" width="22.1640625" style="5" customWidth="1"/>
    <col min="3" max="3" width="25.83203125" style="5" customWidth="1"/>
    <col min="4" max="4" width="20.83203125" style="5" bestFit="1" customWidth="1"/>
    <col min="5" max="5" width="23.5" style="5" customWidth="1"/>
    <col min="6" max="6" width="29.1640625" style="5" customWidth="1"/>
    <col min="7" max="7" width="23.1640625" style="5" customWidth="1"/>
    <col min="8" max="8" width="20.1640625" style="5" customWidth="1"/>
    <col min="9" max="9" width="24.83203125" style="5" customWidth="1"/>
    <col min="10" max="10" width="18.1640625" style="5" bestFit="1" customWidth="1"/>
    <col min="11" max="11" width="16.5" style="5" bestFit="1" customWidth="1"/>
    <col min="12" max="12" width="19.5" style="5" bestFit="1" customWidth="1"/>
    <col min="13" max="13" width="25.5" style="6" customWidth="1"/>
    <col min="14" max="14" width="15.1640625" style="5" customWidth="1"/>
    <col min="15" max="15" width="23.83203125" style="7" customWidth="1"/>
    <col min="16" max="16384" width="10.83203125" style="8"/>
  </cols>
  <sheetData>
    <row r="1" spans="1:15" x14ac:dyDescent="0.2">
      <c r="B1" s="10" t="s">
        <v>41</v>
      </c>
    </row>
    <row r="3" spans="1:15" x14ac:dyDescent="0.2">
      <c r="A3" s="5"/>
      <c r="B3" s="9" t="s">
        <v>1</v>
      </c>
      <c r="C3" s="5" t="s">
        <v>2</v>
      </c>
    </row>
    <row r="4" spans="1:15" x14ac:dyDescent="0.2">
      <c r="B4" s="9" t="s">
        <v>3</v>
      </c>
      <c r="C4" s="5" t="s">
        <v>42</v>
      </c>
    </row>
    <row r="5" spans="1:15" ht="136" x14ac:dyDescent="0.2">
      <c r="B5" s="9" t="s">
        <v>5</v>
      </c>
      <c r="C5" s="71" t="s">
        <v>43</v>
      </c>
      <c r="D5" s="10"/>
      <c r="E5" s="10"/>
      <c r="F5" s="10"/>
      <c r="G5" s="10"/>
      <c r="H5" s="10"/>
      <c r="I5" s="10"/>
      <c r="J5" s="10"/>
      <c r="K5" s="10"/>
      <c r="L5" s="10"/>
    </row>
    <row r="6" spans="1:15" x14ac:dyDescent="0.2">
      <c r="A6" s="5"/>
      <c r="B6" s="9" t="s">
        <v>7</v>
      </c>
      <c r="C6" s="5">
        <v>612.70000000000005</v>
      </c>
      <c r="E6" s="10" t="s">
        <v>8</v>
      </c>
    </row>
    <row r="7" spans="1:15" x14ac:dyDescent="0.2">
      <c r="A7" s="5"/>
      <c r="B7" s="9" t="s">
        <v>15</v>
      </c>
      <c r="C7" s="11">
        <v>24003492</v>
      </c>
      <c r="G7" s="74"/>
    </row>
    <row r="8" spans="1:15" x14ac:dyDescent="0.2">
      <c r="A8" s="5"/>
      <c r="B8" s="9" t="s">
        <v>16</v>
      </c>
      <c r="C8" s="11">
        <v>10506368029</v>
      </c>
    </row>
    <row r="9" spans="1:15" x14ac:dyDescent="0.2">
      <c r="A9" s="5"/>
      <c r="B9" s="9" t="s">
        <v>17</v>
      </c>
      <c r="C9" s="11">
        <f>C6*C7+C8</f>
        <v>25213307577.400002</v>
      </c>
    </row>
    <row r="10" spans="1:15" ht="17" thickBot="1" x14ac:dyDescent="0.25"/>
    <row r="11" spans="1:15" s="13" customFormat="1" ht="21" customHeight="1" thickBot="1" x14ac:dyDescent="0.25">
      <c r="A11" s="12"/>
      <c r="B11" s="207" t="s">
        <v>18</v>
      </c>
      <c r="C11" s="209"/>
      <c r="D11" s="207" t="s">
        <v>19</v>
      </c>
      <c r="E11" s="232"/>
      <c r="F11" s="230" t="s">
        <v>20</v>
      </c>
      <c r="G11" s="231"/>
      <c r="H11" s="207" t="s">
        <v>21</v>
      </c>
      <c r="I11" s="232"/>
      <c r="J11" s="207" t="s">
        <v>22</v>
      </c>
      <c r="K11" s="232"/>
      <c r="L11" s="67" t="s">
        <v>44</v>
      </c>
      <c r="M11" s="233" t="s">
        <v>24</v>
      </c>
      <c r="N11" s="228" t="s">
        <v>25</v>
      </c>
      <c r="O11" s="228" t="s">
        <v>26</v>
      </c>
    </row>
    <row r="12" spans="1:15" s="15" customFormat="1" x14ac:dyDescent="0.2">
      <c r="A12" s="14" t="s">
        <v>27</v>
      </c>
      <c r="B12" s="2" t="s">
        <v>28</v>
      </c>
      <c r="C12" s="97" t="s">
        <v>29</v>
      </c>
      <c r="D12" s="2" t="s">
        <v>28</v>
      </c>
      <c r="E12" s="3" t="s">
        <v>29</v>
      </c>
      <c r="F12" s="98" t="s">
        <v>28</v>
      </c>
      <c r="G12" s="99" t="s">
        <v>29</v>
      </c>
      <c r="H12" s="2" t="s">
        <v>28</v>
      </c>
      <c r="I12" s="3" t="s">
        <v>29</v>
      </c>
      <c r="J12" s="2" t="s">
        <v>28</v>
      </c>
      <c r="K12" s="3" t="s">
        <v>29</v>
      </c>
      <c r="L12" s="68" t="s">
        <v>29</v>
      </c>
      <c r="M12" s="234"/>
      <c r="N12" s="229"/>
      <c r="O12" s="229"/>
    </row>
    <row r="13" spans="1:15" s="21" customFormat="1" x14ac:dyDescent="0.2">
      <c r="A13" s="221">
        <v>0</v>
      </c>
      <c r="B13" s="33">
        <f>C7</f>
        <v>24003492</v>
      </c>
      <c r="C13" s="90"/>
      <c r="D13" s="35"/>
      <c r="E13" s="34"/>
      <c r="F13" s="35"/>
      <c r="G13" s="78"/>
      <c r="H13" s="17"/>
      <c r="I13" s="16"/>
      <c r="J13" s="17"/>
      <c r="K13" s="16"/>
      <c r="L13" s="69"/>
      <c r="M13" s="18"/>
      <c r="N13" s="19"/>
      <c r="O13" s="20"/>
    </row>
    <row r="14" spans="1:15" s="21" customFormat="1" x14ac:dyDescent="0.2">
      <c r="A14" s="221"/>
      <c r="B14" s="35"/>
      <c r="C14" s="101">
        <f>C8</f>
        <v>10506368029</v>
      </c>
      <c r="D14" s="35"/>
      <c r="E14" s="34"/>
      <c r="F14" s="35"/>
      <c r="G14" s="78"/>
      <c r="H14" s="17"/>
      <c r="I14" s="16"/>
      <c r="J14" s="17"/>
      <c r="K14" s="16"/>
      <c r="L14" s="69"/>
      <c r="M14" s="18"/>
      <c r="N14" s="19"/>
      <c r="O14" s="20"/>
    </row>
    <row r="15" spans="1:15" s="21" customFormat="1" ht="51" x14ac:dyDescent="0.2">
      <c r="A15" s="221">
        <v>1</v>
      </c>
      <c r="B15" s="35"/>
      <c r="C15" s="90"/>
      <c r="D15" s="36">
        <f>+B13*25%</f>
        <v>6000873</v>
      </c>
      <c r="E15" s="37"/>
      <c r="F15" s="35">
        <f>D15</f>
        <v>6000873</v>
      </c>
      <c r="G15" s="78"/>
      <c r="H15" s="17"/>
      <c r="I15" s="16"/>
      <c r="J15" s="17"/>
      <c r="K15" s="16"/>
      <c r="L15" s="69"/>
      <c r="M15" s="18" t="s">
        <v>45</v>
      </c>
      <c r="N15" s="22">
        <v>45313</v>
      </c>
      <c r="O15" s="20" t="s">
        <v>31</v>
      </c>
    </row>
    <row r="16" spans="1:15" s="21" customFormat="1" ht="51" x14ac:dyDescent="0.2">
      <c r="A16" s="221"/>
      <c r="B16" s="35"/>
      <c r="C16" s="90"/>
      <c r="D16" s="36"/>
      <c r="E16" s="95">
        <f>+C14*25%</f>
        <v>2626592007.25</v>
      </c>
      <c r="F16" s="35"/>
      <c r="G16" s="78">
        <f>E16</f>
        <v>2626592007.25</v>
      </c>
      <c r="H16" s="17"/>
      <c r="I16" s="16"/>
      <c r="J16" s="17"/>
      <c r="K16" s="16"/>
      <c r="L16" s="69"/>
      <c r="M16" s="18" t="s">
        <v>46</v>
      </c>
      <c r="N16" s="22">
        <v>45313</v>
      </c>
      <c r="O16" s="20" t="s">
        <v>31</v>
      </c>
    </row>
    <row r="17" spans="1:15" s="21" customFormat="1" ht="34" x14ac:dyDescent="0.2">
      <c r="A17" s="221">
        <v>2</v>
      </c>
      <c r="B17" s="17"/>
      <c r="C17" s="100"/>
      <c r="D17" s="36"/>
      <c r="E17" s="95">
        <v>86652173</v>
      </c>
      <c r="F17" s="17"/>
      <c r="G17" s="78">
        <f>65%*E17</f>
        <v>56323912.450000003</v>
      </c>
      <c r="H17" s="35"/>
      <c r="I17" s="34">
        <f>E17*25%</f>
        <v>21663043.25</v>
      </c>
      <c r="J17" s="17"/>
      <c r="K17" s="16"/>
      <c r="L17" s="78">
        <f>G17*18%</f>
        <v>10138304.241</v>
      </c>
      <c r="M17" s="18" t="s">
        <v>47</v>
      </c>
      <c r="N17" s="22">
        <v>45594</v>
      </c>
      <c r="O17" s="20" t="s">
        <v>48</v>
      </c>
    </row>
    <row r="18" spans="1:15" ht="34" x14ac:dyDescent="0.2">
      <c r="A18" s="221"/>
      <c r="B18" s="23"/>
      <c r="C18" s="91"/>
      <c r="D18" s="36">
        <v>4420035</v>
      </c>
      <c r="E18" s="95"/>
      <c r="F18" s="35">
        <f>65%*D18</f>
        <v>2873022.75</v>
      </c>
      <c r="G18" s="94"/>
      <c r="H18" s="73">
        <f>D18*25%</f>
        <v>1105008.75</v>
      </c>
      <c r="I18" s="87"/>
      <c r="J18" s="23"/>
      <c r="K18" s="24"/>
      <c r="L18" s="78"/>
      <c r="M18" s="18" t="s">
        <v>49</v>
      </c>
      <c r="N18" s="22">
        <v>45594</v>
      </c>
      <c r="O18" s="20" t="s">
        <v>50</v>
      </c>
    </row>
    <row r="19" spans="1:15" ht="34" x14ac:dyDescent="0.2">
      <c r="A19" s="25"/>
      <c r="B19" s="23"/>
      <c r="C19" s="91"/>
      <c r="D19" s="73"/>
      <c r="E19" s="95">
        <v>45214729</v>
      </c>
      <c r="F19" s="23"/>
      <c r="G19" s="95">
        <f>65%*E19</f>
        <v>29389573.850000001</v>
      </c>
      <c r="H19" s="73"/>
      <c r="I19" s="87">
        <f>E19*25%</f>
        <v>11303682.25</v>
      </c>
      <c r="J19" s="23"/>
      <c r="K19" s="24"/>
      <c r="L19" s="78">
        <f t="shared" ref="L19:L21" si="0">G19*18%</f>
        <v>5290123.2930000005</v>
      </c>
      <c r="M19" s="18" t="s">
        <v>51</v>
      </c>
      <c r="N19" s="75">
        <v>45325</v>
      </c>
      <c r="O19" s="76" t="s">
        <v>52</v>
      </c>
    </row>
    <row r="20" spans="1:15" ht="34" x14ac:dyDescent="0.2">
      <c r="A20" s="25"/>
      <c r="B20" s="23"/>
      <c r="C20" s="91"/>
      <c r="D20" s="36">
        <v>5509868</v>
      </c>
      <c r="E20" s="102"/>
      <c r="F20" s="36">
        <f>65%*D20</f>
        <v>3581414.2</v>
      </c>
      <c r="G20" s="96"/>
      <c r="H20" s="73">
        <f>D20*25%</f>
        <v>1377467</v>
      </c>
      <c r="I20" s="87"/>
      <c r="J20" s="23"/>
      <c r="K20" s="24"/>
      <c r="L20" s="78"/>
      <c r="M20" s="18" t="s">
        <v>53</v>
      </c>
      <c r="N20" s="75">
        <v>45325</v>
      </c>
      <c r="O20" s="77" t="s">
        <v>54</v>
      </c>
    </row>
    <row r="21" spans="1:15" ht="17" x14ac:dyDescent="0.2">
      <c r="A21" s="25"/>
      <c r="B21" s="81"/>
      <c r="C21" s="92"/>
      <c r="D21" s="103"/>
      <c r="E21" s="86">
        <v>79893979</v>
      </c>
      <c r="F21" s="80"/>
      <c r="G21" s="109">
        <f>65%*E21</f>
        <v>51931086.350000001</v>
      </c>
      <c r="H21" s="105"/>
      <c r="I21" s="108">
        <f t="shared" ref="I21" si="1">E21*25%</f>
        <v>19973494.75</v>
      </c>
      <c r="J21" s="105"/>
      <c r="K21" s="106"/>
      <c r="L21" s="110">
        <f t="shared" si="0"/>
        <v>9347595.5429999996</v>
      </c>
      <c r="M21" s="83"/>
      <c r="N21" s="84"/>
      <c r="O21" s="85" t="s">
        <v>55</v>
      </c>
    </row>
    <row r="22" spans="1:15" ht="17" x14ac:dyDescent="0.2">
      <c r="A22" s="25"/>
      <c r="B22" s="81"/>
      <c r="C22" s="92"/>
      <c r="D22" s="107">
        <v>4093593</v>
      </c>
      <c r="E22" s="86"/>
      <c r="F22" s="80">
        <f>65%*D22</f>
        <v>2660835.4500000002</v>
      </c>
      <c r="G22" s="104"/>
      <c r="H22" s="105">
        <f>25%*D22</f>
        <v>1023398.25</v>
      </c>
      <c r="I22" s="108"/>
      <c r="J22" s="105"/>
      <c r="K22" s="106"/>
      <c r="L22" s="78"/>
      <c r="M22" s="83"/>
      <c r="N22" s="84"/>
      <c r="O22" s="85" t="s">
        <v>56</v>
      </c>
    </row>
    <row r="23" spans="1:15" ht="17" thickBot="1" x14ac:dyDescent="0.25">
      <c r="A23" s="25"/>
      <c r="B23" s="26"/>
      <c r="C23" s="93"/>
      <c r="D23" s="26"/>
      <c r="E23" s="27"/>
      <c r="F23" s="26"/>
      <c r="G23" s="70"/>
      <c r="H23" s="26"/>
      <c r="I23" s="27"/>
      <c r="J23" s="26"/>
      <c r="K23" s="27"/>
      <c r="L23" s="70"/>
      <c r="M23" s="28"/>
      <c r="N23" s="29"/>
      <c r="O23" s="30"/>
    </row>
    <row r="27" spans="1:15" ht="17" thickBot="1" x14ac:dyDescent="0.25"/>
    <row r="28" spans="1:15" ht="14.5" customHeight="1" x14ac:dyDescent="0.2">
      <c r="B28" s="207" t="s">
        <v>35</v>
      </c>
      <c r="C28" s="208"/>
      <c r="D28" s="208"/>
      <c r="E28" s="208"/>
      <c r="F28" s="63">
        <f>SUM(F13:F27)</f>
        <v>15116145.399999999</v>
      </c>
      <c r="G28" s="64"/>
    </row>
    <row r="29" spans="1:15" ht="17" thickBot="1" x14ac:dyDescent="0.25">
      <c r="B29" s="210"/>
      <c r="C29" s="211"/>
      <c r="D29" s="211"/>
      <c r="E29" s="211"/>
      <c r="F29" s="65"/>
      <c r="G29" s="66">
        <f>SUM(G13:G27)</f>
        <v>2764236579.8999996</v>
      </c>
    </row>
    <row r="30" spans="1:15" ht="14.5" customHeight="1" x14ac:dyDescent="0.2">
      <c r="B30" s="207" t="s">
        <v>36</v>
      </c>
      <c r="C30" s="208"/>
      <c r="D30" s="208"/>
      <c r="E30" s="208"/>
      <c r="F30" s="46">
        <f>+F28/B13</f>
        <v>0.6297477633670967</v>
      </c>
      <c r="G30" s="47"/>
    </row>
    <row r="31" spans="1:15" ht="17" thickBot="1" x14ac:dyDescent="0.25">
      <c r="B31" s="210"/>
      <c r="C31" s="211"/>
      <c r="D31" s="211"/>
      <c r="E31" s="211"/>
      <c r="F31" s="48"/>
      <c r="G31" s="49">
        <f>+G29/C14</f>
        <v>0.26310106140105399</v>
      </c>
    </row>
    <row r="32" spans="1:15" ht="19" thickBot="1" x14ac:dyDescent="0.25">
      <c r="B32" s="224" t="s">
        <v>37</v>
      </c>
      <c r="C32" s="225"/>
      <c r="D32" s="225"/>
      <c r="E32" s="225"/>
      <c r="F32" s="226">
        <f>F28*C6+G29</f>
        <v>12025898866.48</v>
      </c>
      <c r="G32" s="227"/>
    </row>
    <row r="33" spans="2:9" ht="14.5" customHeight="1" x14ac:dyDescent="0.2">
      <c r="B33" s="207" t="s">
        <v>38</v>
      </c>
      <c r="C33" s="208"/>
      <c r="D33" s="208"/>
      <c r="E33" s="208"/>
      <c r="F33" s="50">
        <f>B13-F28</f>
        <v>8887346.6000000015</v>
      </c>
      <c r="G33" s="51"/>
      <c r="H33" s="40"/>
      <c r="I33" s="40"/>
    </row>
    <row r="34" spans="2:9" ht="17" thickBot="1" x14ac:dyDescent="0.25">
      <c r="B34" s="222"/>
      <c r="C34" s="223"/>
      <c r="D34" s="223"/>
      <c r="E34" s="223"/>
      <c r="F34" s="52"/>
      <c r="G34" s="53">
        <f>C14-G29</f>
        <v>7742131449.1000004</v>
      </c>
      <c r="H34" s="40"/>
      <c r="I34" s="40"/>
    </row>
    <row r="35" spans="2:9" ht="14.5" customHeight="1" x14ac:dyDescent="0.2">
      <c r="B35" s="207" t="s">
        <v>39</v>
      </c>
      <c r="C35" s="208"/>
      <c r="D35" s="208"/>
      <c r="E35" s="208"/>
      <c r="F35" s="208"/>
      <c r="G35" s="208"/>
      <c r="H35" s="43">
        <f>D15-SUM(H13:H23)</f>
        <v>2494999</v>
      </c>
      <c r="I35" s="39"/>
    </row>
    <row r="36" spans="2:9" ht="17" thickBot="1" x14ac:dyDescent="0.25">
      <c r="B36" s="210"/>
      <c r="C36" s="211"/>
      <c r="D36" s="211"/>
      <c r="E36" s="211"/>
      <c r="F36" s="211"/>
      <c r="G36" s="211"/>
      <c r="H36" s="44"/>
      <c r="I36" s="45">
        <f>E16-SUM(I13:I23)</f>
        <v>2573651787</v>
      </c>
    </row>
    <row r="39" spans="2:9" x14ac:dyDescent="0.2">
      <c r="H39" s="31" t="s">
        <v>40</v>
      </c>
      <c r="I39" s="31"/>
    </row>
    <row r="47" spans="2:9" x14ac:dyDescent="0.2">
      <c r="I47" s="32"/>
    </row>
  </sheetData>
  <mergeCells count="17">
    <mergeCell ref="A13:A14"/>
    <mergeCell ref="A15:A16"/>
    <mergeCell ref="A17:A18"/>
    <mergeCell ref="B11:C11"/>
    <mergeCell ref="D11:E11"/>
    <mergeCell ref="F32:G32"/>
    <mergeCell ref="B33:E34"/>
    <mergeCell ref="B35:G36"/>
    <mergeCell ref="N11:N12"/>
    <mergeCell ref="O11:O12"/>
    <mergeCell ref="F11:G11"/>
    <mergeCell ref="H11:I11"/>
    <mergeCell ref="J11:K11"/>
    <mergeCell ref="M11:M12"/>
    <mergeCell ref="B28:E29"/>
    <mergeCell ref="B30:E31"/>
    <mergeCell ref="B32:E32"/>
  </mergeCells>
  <pageMargins left="0.25" right="0.25" top="0.75" bottom="0.75" header="0.3" footer="0.3"/>
  <pageSetup paperSize="9" scale="46" orientation="landscape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730E01883C334AB3102C68150907A4" ma:contentTypeVersion="16" ma:contentTypeDescription="Crée un document." ma:contentTypeScope="" ma:versionID="bec2cf4852316fb00c1b7bcbc6f94348">
  <xsd:schema xmlns:xsd="http://www.w3.org/2001/XMLSchema" xmlns:xs="http://www.w3.org/2001/XMLSchema" xmlns:p="http://schemas.microsoft.com/office/2006/metadata/properties" xmlns:ns3="33038308-fe56-4e03-80c5-1e877c965caf" xmlns:ns4="75b5a2dc-b320-41c8-84b7-0b28d142c766" targetNamespace="http://schemas.microsoft.com/office/2006/metadata/properties" ma:root="true" ma:fieldsID="b87a5d963a0da91aec48e580a4504dfe" ns3:_="" ns4:_="">
    <xsd:import namespace="33038308-fe56-4e03-80c5-1e877c965caf"/>
    <xsd:import namespace="75b5a2dc-b320-41c8-84b7-0b28d142c76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ObjectDetectorVersions" minOccurs="0"/>
                <xsd:element ref="ns3:MediaServiceAutoTags" minOccurs="0"/>
                <xsd:element ref="ns3:MediaLengthInSeconds" minOccurs="0"/>
                <xsd:element ref="ns3:MediaServiceSearchProperties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038308-fe56-4e03-80c5-1e877c965c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b5a2dc-b320-41c8-84b7-0b28d142c76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3038308-fe56-4e03-80c5-1e877c965caf" xsi:nil="true"/>
  </documentManagement>
</p:properties>
</file>

<file path=customXml/itemProps1.xml><?xml version="1.0" encoding="utf-8"?>
<ds:datastoreItem xmlns:ds="http://schemas.openxmlformats.org/officeDocument/2006/customXml" ds:itemID="{E73321E1-22C0-4BDF-8A18-3AA85B8833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038308-fe56-4e03-80c5-1e877c965caf"/>
    <ds:schemaRef ds:uri="75b5a2dc-b320-41c8-84b7-0b28d142c7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0AF4813-5C8E-4D1D-A1FC-6C71CEEA4DC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7EECF9C-37B3-4515-9633-76F647FDFBBC}">
  <ds:schemaRefs>
    <ds:schemaRef ds:uri="http://schemas.microsoft.com/office/2006/metadata/properties"/>
    <ds:schemaRef ds:uri="http://schemas.microsoft.com/office/infopath/2007/PartnerControls"/>
    <ds:schemaRef ds:uri="33038308-fe56-4e03-80c5-1e877c965ca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RECAP</vt:lpstr>
      <vt:lpstr>LOT3-BEST</vt:lpstr>
      <vt:lpstr>LOT2-BEST</vt:lpstr>
      <vt:lpstr>'LOT2-BEST'!Print_Area</vt:lpstr>
      <vt:lpstr>'LOT3-BEST'!Print_Area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Stéphane Mpasche NIOUKY</dc:creator>
  <cp:keywords/>
  <dc:description/>
  <cp:lastModifiedBy>maodo sene</cp:lastModifiedBy>
  <cp:revision/>
  <dcterms:created xsi:type="dcterms:W3CDTF">2019-12-18T08:41:10Z</dcterms:created>
  <dcterms:modified xsi:type="dcterms:W3CDTF">2026-05-18T11:26:12Z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0x010100A8730E01883C334AB3102C68150907A4</vt:lpwstr>
  </property>
</Properties>
</file>