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odosene/Desktop/BEST/Kickoff_meeting/BEST-Contrats-Localités et traces finaux du BEST_18012024/Contrat-IC EXP-IRAF-et docs/Facturation/"/>
    </mc:Choice>
  </mc:AlternateContent>
  <xr:revisionPtr revIDLastSave="0" documentId="13_ncr:1_{EFB2F666-5208-334D-93E6-ACFED6962D95}" xr6:coauthVersionLast="47" xr6:coauthVersionMax="47" xr10:uidLastSave="{00000000-0000-0000-0000-000000000000}"/>
  <bookViews>
    <workbookView xWindow="4340" yWindow="760" windowWidth="30220" windowHeight="20060" xr2:uid="{00000000-000D-0000-FFFF-FFFF00000000}"/>
  </bookViews>
  <sheets>
    <sheet name="EXP-IRAF" sheetId="1" r:id="rId1"/>
  </sheets>
  <definedNames>
    <definedName name="_xlnm.Print_Area" localSheetId="0">'EXP-IRAF'!$A$1:$I$44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D31" i="1"/>
  <c r="D32" i="1"/>
  <c r="E35" i="1"/>
  <c r="E36" i="1" s="1"/>
  <c r="F35" i="1"/>
  <c r="D30" i="1"/>
  <c r="D29" i="1"/>
  <c r="D28" i="1"/>
  <c r="D27" i="1"/>
  <c r="D26" i="1"/>
  <c r="D25" i="1"/>
  <c r="D24" i="1"/>
  <c r="D22" i="1"/>
  <c r="D23" i="1"/>
  <c r="D21" i="1"/>
  <c r="D20" i="1"/>
  <c r="D19" i="1"/>
  <c r="E18" i="1"/>
  <c r="D17" i="1"/>
  <c r="D16" i="1"/>
  <c r="D15" i="1"/>
  <c r="D18" i="1" l="1"/>
  <c r="D36" i="1"/>
  <c r="D35" i="1"/>
</calcChain>
</file>

<file path=xl/sharedStrings.xml><?xml version="1.0" encoding="utf-8"?>
<sst xmlns="http://schemas.openxmlformats.org/spreadsheetml/2006/main" count="84" uniqueCount="68">
  <si>
    <t xml:space="preserve">Objet : </t>
  </si>
  <si>
    <t>Date de certification</t>
  </si>
  <si>
    <t>Commentaires</t>
  </si>
  <si>
    <t>N° Contrat :</t>
  </si>
  <si>
    <t xml:space="preserve">Entreprise : </t>
  </si>
  <si>
    <t>DER/DPD/MS</t>
  </si>
  <si>
    <t>SIGNATURE ET CACHET</t>
  </si>
  <si>
    <t xml:space="preserve">NG-ECOWAS-DEM-235253-CS-QCBS - SN </t>
  </si>
  <si>
    <t>Groupement EPX-IRAF</t>
  </si>
  <si>
    <t>MISSION D’ASSISTANCE A LA PASSATION DES MARCHÉS ET A LA SUPERVISION DES TRAVAUX - COMPOSANTE 1 - ACCÈS À L’ELECTRICITÉ</t>
  </si>
  <si>
    <t>USD</t>
  </si>
  <si>
    <t>Imprevus (10%):</t>
  </si>
  <si>
    <t>TERMES FACTURATION</t>
  </si>
  <si>
    <t>N°</t>
  </si>
  <si>
    <t>Avance de démarrage</t>
  </si>
  <si>
    <t>% avancement financier</t>
  </si>
  <si>
    <t>Montant marché TTC :</t>
  </si>
  <si>
    <t>Décompte N°1/Frais remboursables</t>
  </si>
  <si>
    <t>Décompte N°1/Rémunération</t>
  </si>
  <si>
    <t>BEST-SN-RN-01-2024</t>
  </si>
  <si>
    <t>TOTAL FACTURE A CE JOUR</t>
  </si>
  <si>
    <t xml:space="preserve">reste à facturer </t>
  </si>
  <si>
    <t>Deduction avance</t>
  </si>
  <si>
    <t>l'entreprise n'a pas sollicité de AD</t>
  </si>
  <si>
    <t>Avancement sur Prestations</t>
  </si>
  <si>
    <t>Décompte N°2/Rémunération</t>
  </si>
  <si>
    <t>Décompte N°2/Frais remboursables</t>
  </si>
  <si>
    <t>BEST-SN-RN-02-2024</t>
  </si>
  <si>
    <t>CFA</t>
  </si>
  <si>
    <t>Taux utilisé :</t>
  </si>
  <si>
    <t>Montant Total Facturé</t>
  </si>
  <si>
    <t>Decompte N°3/Frais remboursables véhicules</t>
  </si>
  <si>
    <t>BEST-SN-RN-5-2024</t>
  </si>
  <si>
    <t>Decompte N°3/Rémunération</t>
  </si>
  <si>
    <t>BEST-SN-RN-03-2024</t>
  </si>
  <si>
    <t xml:space="preserve">Decompte N°3/Frais remboursables </t>
  </si>
  <si>
    <t>Decompte N°4/Rémunération</t>
  </si>
  <si>
    <t xml:space="preserve">Decompte N°4/Frais remboursables </t>
  </si>
  <si>
    <t>BEST-SN-RN-04-2024</t>
  </si>
  <si>
    <t>Bimestre (Juillet-Aout 2024)</t>
  </si>
  <si>
    <t>Bimestre  (Mai-Juin 2024)</t>
  </si>
  <si>
    <t>Bimestre (Mars-Avril 2024)</t>
  </si>
  <si>
    <t>Bimestre (janvier-fervier 2024)</t>
  </si>
  <si>
    <t>Bimestre (septembre-octobre 2024)</t>
  </si>
  <si>
    <t>Remboursement des 4 voitures</t>
  </si>
  <si>
    <t>Décompte N07/Rémunération</t>
  </si>
  <si>
    <t>BEST-SN-RN-07-2024</t>
  </si>
  <si>
    <t>Décompte N07/Remboursable</t>
  </si>
  <si>
    <t>Décompte N06 /Remboursable</t>
  </si>
  <si>
    <t>BEST-SN-RN-06-2024</t>
  </si>
  <si>
    <t>Bimestre (novembre-decembre 2024)</t>
  </si>
  <si>
    <t>Décompte N06 /Rémunération</t>
  </si>
  <si>
    <t>BEST-SN-RN-8-2025</t>
  </si>
  <si>
    <t>BEST-SN-RN-08-2025</t>
  </si>
  <si>
    <t>Bimestre (janvier-fevrier 2025)</t>
  </si>
  <si>
    <t>Décompte N08 /Remboursable</t>
  </si>
  <si>
    <t>Décompte N08 /Rémunération</t>
  </si>
  <si>
    <t>Décompte N09, N10, N11/Rémunération</t>
  </si>
  <si>
    <t>BEST-SN-RN-09-2025</t>
  </si>
  <si>
    <t>3 Bimestres (Mars-Aout 2025)</t>
  </si>
  <si>
    <t>Decompte N°12/Rémunération</t>
  </si>
  <si>
    <t>BEST-SN-RN-12-2025</t>
  </si>
  <si>
    <t>Bimestre Septembre-Octobre 2025</t>
  </si>
  <si>
    <t>Decompte N°13/Rémunération</t>
  </si>
  <si>
    <t>BEST-SN-RN-13-2025</t>
  </si>
  <si>
    <t>Bimestre Novembre-Decembre 2025</t>
  </si>
  <si>
    <t>Decompte N°14/Rémunération</t>
  </si>
  <si>
    <t>Bimestre Janvier-Février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</si>
</sst>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 * #,##0.00_)\ _C_F_A_ ;_ * \(#,##0.00\)\ _C_F_A_ ;_ * &quot;-&quot;??_)\ _C_F_A_ ;_ @_ "/>
    <numFmt numFmtId="166" formatCode="_-* #,##0_-;\-* #,##0_-;_-* &quot;-&quot;??_-;_-@_-"/>
    <numFmt numFmtId="167" formatCode="_(* #,##0.00_);_(* \(#,##0.00\);_(* &quot;-&quot;_);_(@_)"/>
    <numFmt numFmtId="168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Verdana"/>
      <family val="2"/>
    </font>
    <font>
      <sz val="14"/>
      <color theme="1"/>
      <name val="Verdana"/>
      <family val="2"/>
    </font>
    <font>
      <b/>
      <u/>
      <sz val="14"/>
      <color theme="1"/>
      <name val="Verdana"/>
      <family val="2"/>
    </font>
    <font>
      <b/>
      <sz val="10"/>
      <name val="Arial"/>
      <family val="2"/>
    </font>
    <font>
      <sz val="14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6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1" applyNumberFormat="1" applyFont="1" applyAlignment="1">
      <alignment horizontal="right" vertical="top"/>
    </xf>
    <xf numFmtId="0" fontId="4" fillId="0" borderId="0" xfId="0" applyFont="1" applyAlignment="1">
      <alignment vertical="top" wrapText="1"/>
    </xf>
    <xf numFmtId="0" fontId="4" fillId="0" borderId="0" xfId="0" applyFont="1"/>
    <xf numFmtId="1" fontId="3" fillId="0" borderId="0" xfId="0" applyNumberFormat="1" applyFont="1" applyAlignment="1">
      <alignment vertical="top"/>
    </xf>
    <xf numFmtId="166" fontId="3" fillId="0" borderId="0" xfId="1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/>
    </xf>
    <xf numFmtId="164" fontId="4" fillId="0" borderId="0" xfId="1" applyFont="1" applyBorder="1" applyAlignment="1">
      <alignment vertical="top"/>
    </xf>
    <xf numFmtId="164" fontId="4" fillId="0" borderId="0" xfId="1" applyFont="1"/>
    <xf numFmtId="0" fontId="5" fillId="0" borderId="0" xfId="0" applyFont="1" applyAlignment="1">
      <alignment vertical="top"/>
    </xf>
    <xf numFmtId="165" fontId="4" fillId="0" borderId="0" xfId="0" applyNumberFormat="1" applyFont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15" xfId="0" applyFont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2" xfId="1" applyNumberFormat="1" applyFont="1" applyFill="1" applyBorder="1" applyAlignment="1">
      <alignment vertical="top"/>
    </xf>
    <xf numFmtId="1" fontId="4" fillId="0" borderId="13" xfId="0" applyNumberFormat="1" applyFont="1" applyBorder="1" applyAlignment="1">
      <alignment vertical="top" wrapText="1"/>
    </xf>
    <xf numFmtId="1" fontId="4" fillId="0" borderId="3" xfId="0" applyNumberFormat="1" applyFont="1" applyBorder="1" applyAlignment="1">
      <alignment vertical="top" wrapText="1"/>
    </xf>
    <xf numFmtId="1" fontId="4" fillId="0" borderId="7" xfId="0" applyNumberFormat="1" applyFont="1" applyBorder="1" applyAlignment="1">
      <alignment vertical="top" wrapText="1"/>
    </xf>
    <xf numFmtId="1" fontId="4" fillId="0" borderId="4" xfId="0" applyNumberFormat="1" applyFont="1" applyBorder="1" applyAlignment="1">
      <alignment vertical="top" wrapText="1"/>
    </xf>
    <xf numFmtId="1" fontId="3" fillId="0" borderId="3" xfId="0" applyNumberFormat="1" applyFont="1" applyBorder="1" applyAlignment="1">
      <alignment vertical="top" wrapText="1"/>
    </xf>
    <xf numFmtId="1" fontId="4" fillId="0" borderId="8" xfId="0" applyNumberFormat="1" applyFont="1" applyBorder="1" applyAlignment="1">
      <alignment vertical="top" wrapText="1"/>
    </xf>
    <xf numFmtId="14" fontId="4" fillId="0" borderId="13" xfId="0" applyNumberFormat="1" applyFont="1" applyBorder="1" applyAlignment="1">
      <alignment vertical="top" wrapText="1"/>
    </xf>
    <xf numFmtId="167" fontId="4" fillId="0" borderId="13" xfId="3" applyNumberFormat="1" applyFont="1" applyBorder="1" applyAlignment="1">
      <alignment vertical="top" wrapText="1"/>
    </xf>
    <xf numFmtId="167" fontId="4" fillId="0" borderId="8" xfId="3" applyNumberFormat="1" applyFont="1" applyBorder="1" applyAlignment="1">
      <alignment vertical="top" wrapText="1"/>
    </xf>
    <xf numFmtId="167" fontId="4" fillId="0" borderId="6" xfId="3" applyNumberFormat="1" applyFont="1" applyBorder="1" applyAlignment="1">
      <alignment vertical="top" wrapText="1"/>
    </xf>
    <xf numFmtId="168" fontId="4" fillId="0" borderId="13" xfId="2" applyNumberFormat="1" applyFont="1" applyBorder="1" applyAlignment="1">
      <alignment vertical="top" wrapText="1"/>
    </xf>
    <xf numFmtId="168" fontId="4" fillId="0" borderId="7" xfId="2" applyNumberFormat="1" applyFont="1" applyBorder="1" applyAlignment="1">
      <alignment vertical="top" wrapText="1"/>
    </xf>
    <xf numFmtId="168" fontId="4" fillId="0" borderId="8" xfId="2" applyNumberFormat="1" applyFont="1" applyBorder="1" applyAlignment="1">
      <alignment vertical="top" wrapText="1"/>
    </xf>
    <xf numFmtId="14" fontId="4" fillId="0" borderId="7" xfId="0" applyNumberFormat="1" applyFont="1" applyBorder="1" applyAlignment="1">
      <alignment vertical="top" wrapText="1"/>
    </xf>
    <xf numFmtId="14" fontId="4" fillId="0" borderId="8" xfId="0" applyNumberFormat="1" applyFont="1" applyBorder="1" applyAlignment="1">
      <alignment vertical="top" wrapText="1"/>
    </xf>
    <xf numFmtId="0" fontId="6" fillId="0" borderId="0" xfId="0" applyFont="1" applyAlignment="1">
      <alignment vertical="top"/>
    </xf>
    <xf numFmtId="0" fontId="4" fillId="0" borderId="0" xfId="1" applyNumberFormat="1" applyFont="1" applyBorder="1" applyAlignment="1">
      <alignment horizontal="right" vertical="top"/>
    </xf>
    <xf numFmtId="1" fontId="3" fillId="0" borderId="19" xfId="0" applyNumberFormat="1" applyFont="1" applyBorder="1" applyAlignment="1">
      <alignment vertical="top"/>
    </xf>
    <xf numFmtId="1" fontId="4" fillId="0" borderId="20" xfId="0" applyNumberFormat="1" applyFont="1" applyBorder="1" applyAlignment="1">
      <alignment vertical="top" wrapText="1"/>
    </xf>
    <xf numFmtId="14" fontId="4" fillId="0" borderId="20" xfId="0" applyNumberFormat="1" applyFont="1" applyBorder="1" applyAlignment="1">
      <alignment vertical="top" wrapText="1"/>
    </xf>
    <xf numFmtId="168" fontId="4" fillId="0" borderId="20" xfId="2" applyNumberFormat="1" applyFont="1" applyBorder="1" applyAlignment="1">
      <alignment vertical="top" wrapText="1"/>
    </xf>
    <xf numFmtId="1" fontId="3" fillId="0" borderId="5" xfId="0" applyNumberFormat="1" applyFont="1" applyBorder="1" applyAlignment="1">
      <alignment vertical="top" wrapText="1"/>
    </xf>
    <xf numFmtId="1" fontId="4" fillId="0" borderId="21" xfId="0" applyNumberFormat="1" applyFont="1" applyBorder="1" applyAlignment="1">
      <alignment vertical="top" wrapText="1"/>
    </xf>
    <xf numFmtId="1" fontId="4" fillId="0" borderId="14" xfId="0" applyNumberFormat="1" applyFont="1" applyBorder="1" applyAlignment="1">
      <alignment vertical="top" wrapText="1"/>
    </xf>
    <xf numFmtId="1" fontId="4" fillId="0" borderId="11" xfId="0" applyNumberFormat="1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1" fontId="4" fillId="0" borderId="15" xfId="0" applyNumberFormat="1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167" fontId="4" fillId="0" borderId="22" xfId="3" applyNumberFormat="1" applyFont="1" applyBorder="1" applyAlignment="1">
      <alignment vertical="top" wrapText="1"/>
    </xf>
    <xf numFmtId="167" fontId="4" fillId="0" borderId="25" xfId="3" applyNumberFormat="1" applyFont="1" applyBorder="1" applyAlignment="1">
      <alignment vertical="top" wrapText="1"/>
    </xf>
    <xf numFmtId="1" fontId="3" fillId="0" borderId="20" xfId="0" applyNumberFormat="1" applyFont="1" applyBorder="1" applyAlignment="1">
      <alignment vertical="top" wrapText="1"/>
    </xf>
    <xf numFmtId="1" fontId="3" fillId="0" borderId="21" xfId="0" applyNumberFormat="1" applyFont="1" applyBorder="1" applyAlignment="1">
      <alignment vertical="top" wrapText="1"/>
    </xf>
    <xf numFmtId="43" fontId="4" fillId="0" borderId="0" xfId="0" applyNumberFormat="1" applyFont="1" applyAlignment="1">
      <alignment vertical="top"/>
    </xf>
    <xf numFmtId="168" fontId="4" fillId="0" borderId="13" xfId="2" applyNumberFormat="1" applyFont="1" applyFill="1" applyBorder="1" applyAlignment="1">
      <alignment vertical="top" wrapText="1"/>
    </xf>
    <xf numFmtId="167" fontId="4" fillId="0" borderId="13" xfId="3" applyNumberFormat="1" applyFont="1" applyFill="1" applyBorder="1" applyAlignment="1">
      <alignment vertical="top" wrapText="1"/>
    </xf>
    <xf numFmtId="167" fontId="4" fillId="0" borderId="22" xfId="3" applyNumberFormat="1" applyFont="1" applyFill="1" applyBorder="1" applyAlignment="1">
      <alignment vertical="top" wrapText="1"/>
    </xf>
    <xf numFmtId="1" fontId="7" fillId="0" borderId="13" xfId="0" applyNumberFormat="1" applyFont="1" applyBorder="1" applyAlignment="1">
      <alignment vertical="top" wrapText="1"/>
    </xf>
    <xf numFmtId="43" fontId="4" fillId="0" borderId="0" xfId="0" applyNumberFormat="1" applyFont="1"/>
    <xf numFmtId="166" fontId="3" fillId="0" borderId="0" xfId="0" applyNumberFormat="1" applyFont="1" applyAlignment="1">
      <alignment vertical="top"/>
    </xf>
    <xf numFmtId="0" fontId="4" fillId="2" borderId="0" xfId="0" applyFont="1" applyFill="1" applyAlignment="1">
      <alignment vertical="top"/>
    </xf>
    <xf numFmtId="0" fontId="4" fillId="2" borderId="0" xfId="0" applyFont="1" applyFill="1"/>
    <xf numFmtId="168" fontId="3" fillId="3" borderId="13" xfId="2" applyNumberFormat="1" applyFont="1" applyFill="1" applyBorder="1" applyAlignment="1">
      <alignment vertical="top" wrapText="1"/>
    </xf>
    <xf numFmtId="167" fontId="3" fillId="3" borderId="22" xfId="3" applyNumberFormat="1" applyFont="1" applyFill="1" applyBorder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3" xfId="1" applyNumberFormat="1" applyFont="1" applyBorder="1" applyAlignment="1">
      <alignment horizontal="center" vertical="top" wrapText="1"/>
    </xf>
    <xf numFmtId="0" fontId="3" fillId="0" borderId="26" xfId="1" applyNumberFormat="1" applyFont="1" applyBorder="1" applyAlignment="1">
      <alignment horizontal="center" vertical="top" wrapText="1"/>
    </xf>
    <xf numFmtId="0" fontId="3" fillId="0" borderId="27" xfId="1" applyNumberFormat="1" applyFont="1" applyBorder="1" applyAlignment="1">
      <alignment horizontal="center" vertical="top" wrapText="1"/>
    </xf>
    <xf numFmtId="0" fontId="3" fillId="0" borderId="28" xfId="1" applyNumberFormat="1" applyFont="1" applyBorder="1" applyAlignment="1">
      <alignment horizontal="center" vertical="top" wrapText="1"/>
    </xf>
  </cellXfs>
  <cellStyles count="4">
    <cellStyle name="Comma" xfId="1" builtinId="3"/>
    <cellStyle name="Comma [0]" xfId="3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9"/>
  <sheetViews>
    <sheetView tabSelected="1" view="pageBreakPreview" topLeftCell="A16" zoomScale="81" zoomScaleNormal="83" zoomScaleSheetLayoutView="66" workbookViewId="0">
      <selection activeCell="E41" sqref="E41"/>
    </sheetView>
  </sheetViews>
  <sheetFormatPr baseColWidth="10" defaultColWidth="31" defaultRowHeight="18" x14ac:dyDescent="0.2"/>
  <cols>
    <col min="1" max="1" width="32" style="2" customWidth="1"/>
    <col min="2" max="3" width="31" style="2"/>
    <col min="4" max="4" width="25.83203125" style="2" customWidth="1"/>
    <col min="5" max="5" width="25" style="2" customWidth="1"/>
    <col min="6" max="6" width="33.33203125" style="2" bestFit="1" customWidth="1"/>
    <col min="7" max="7" width="31" style="2" customWidth="1"/>
    <col min="8" max="8" width="27.5" style="2" customWidth="1"/>
    <col min="9" max="9" width="21.5" style="2" customWidth="1"/>
    <col min="10" max="13" width="31" style="2"/>
    <col min="14" max="14" width="31" style="3"/>
    <col min="15" max="15" width="31" style="2"/>
    <col min="16" max="16" width="31" style="4"/>
    <col min="17" max="16384" width="31" style="5"/>
  </cols>
  <sheetData>
    <row r="1" spans="1:13" x14ac:dyDescent="0.2">
      <c r="A1" s="1" t="s">
        <v>5</v>
      </c>
    </row>
    <row r="3" spans="1:13" x14ac:dyDescent="0.2">
      <c r="A3" s="6" t="s">
        <v>3</v>
      </c>
      <c r="B3" s="2" t="s">
        <v>7</v>
      </c>
    </row>
    <row r="4" spans="1:13" x14ac:dyDescent="0.2">
      <c r="A4" s="6" t="s">
        <v>4</v>
      </c>
      <c r="B4" s="2" t="s">
        <v>8</v>
      </c>
    </row>
    <row r="5" spans="1:13" x14ac:dyDescent="0.2">
      <c r="A5" s="6" t="s">
        <v>0</v>
      </c>
      <c r="B5" s="1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">
      <c r="A6" s="6" t="s">
        <v>16</v>
      </c>
      <c r="B6" s="7">
        <v>1611314.3</v>
      </c>
      <c r="C6" s="1" t="s">
        <v>10</v>
      </c>
      <c r="D6" s="58"/>
    </row>
    <row r="7" spans="1:13" ht="19" thickBot="1" x14ac:dyDescent="0.25">
      <c r="A7" s="6" t="s">
        <v>11</v>
      </c>
      <c r="B7" s="7">
        <v>161131.43</v>
      </c>
      <c r="C7" s="1" t="s">
        <v>10</v>
      </c>
      <c r="D7" s="1"/>
      <c r="H7" s="1" t="s">
        <v>29</v>
      </c>
      <c r="I7" s="2">
        <v>589.70000000000005</v>
      </c>
    </row>
    <row r="8" spans="1:13" x14ac:dyDescent="0.2">
      <c r="A8" s="16"/>
      <c r="B8" s="17"/>
      <c r="C8" s="17"/>
      <c r="D8" s="17"/>
      <c r="E8" s="17"/>
      <c r="F8" s="17"/>
      <c r="G8" s="17"/>
      <c r="H8" s="18"/>
    </row>
    <row r="9" spans="1:13" s="9" customFormat="1" ht="13.5" customHeight="1" x14ac:dyDescent="0.2">
      <c r="A9" s="66" t="s">
        <v>12</v>
      </c>
      <c r="B9" s="64" t="s">
        <v>13</v>
      </c>
      <c r="C9" s="64" t="s">
        <v>1</v>
      </c>
      <c r="D9" s="64" t="s">
        <v>15</v>
      </c>
      <c r="E9" s="72" t="s">
        <v>30</v>
      </c>
      <c r="F9" s="73"/>
      <c r="G9" s="70" t="s">
        <v>22</v>
      </c>
      <c r="H9" s="68" t="s">
        <v>2</v>
      </c>
      <c r="I9" s="63"/>
      <c r="J9" s="63"/>
      <c r="K9" s="63"/>
      <c r="L9" s="63"/>
      <c r="M9" s="8"/>
    </row>
    <row r="10" spans="1:13" s="11" customFormat="1" ht="29" customHeight="1" thickBot="1" x14ac:dyDescent="0.25">
      <c r="A10" s="67"/>
      <c r="B10" s="65"/>
      <c r="C10" s="65"/>
      <c r="D10" s="65"/>
      <c r="E10" s="74"/>
      <c r="F10" s="75"/>
      <c r="G10" s="71"/>
      <c r="H10" s="69"/>
      <c r="I10" s="10"/>
      <c r="J10" s="10"/>
      <c r="K10" s="10"/>
      <c r="L10" s="10"/>
      <c r="M10" s="10"/>
    </row>
    <row r="11" spans="1:13" s="13" customFormat="1" ht="20" thickBot="1" x14ac:dyDescent="0.25">
      <c r="A11" s="37"/>
      <c r="B11" s="38"/>
      <c r="C11" s="39"/>
      <c r="D11" s="40"/>
      <c r="E11" s="50" t="s">
        <v>10</v>
      </c>
      <c r="F11" s="51" t="s">
        <v>28</v>
      </c>
      <c r="G11" s="46"/>
      <c r="H11" s="43"/>
      <c r="I11" s="12"/>
      <c r="J11" s="12"/>
      <c r="K11" s="12"/>
      <c r="L11" s="12"/>
      <c r="M11" s="12"/>
    </row>
    <row r="12" spans="1:13" s="13" customFormat="1" ht="39" thickBot="1" x14ac:dyDescent="0.25">
      <c r="A12" s="37" t="s">
        <v>14</v>
      </c>
      <c r="B12" s="38"/>
      <c r="C12" s="39"/>
      <c r="D12" s="40">
        <v>0</v>
      </c>
      <c r="E12" s="38"/>
      <c r="F12" s="42"/>
      <c r="G12" s="43"/>
      <c r="H12" s="43" t="s">
        <v>23</v>
      </c>
      <c r="I12" s="12"/>
      <c r="J12" s="12"/>
      <c r="K12" s="12"/>
      <c r="L12" s="12"/>
      <c r="M12" s="12"/>
    </row>
    <row r="13" spans="1:13" s="13" customFormat="1" x14ac:dyDescent="0.2">
      <c r="A13" s="19"/>
      <c r="B13" s="22"/>
      <c r="C13" s="33"/>
      <c r="D13" s="31"/>
      <c r="E13" s="22"/>
      <c r="F13" s="45"/>
      <c r="G13" s="47"/>
      <c r="H13" s="44"/>
      <c r="I13" s="12"/>
      <c r="J13" s="12"/>
      <c r="K13" s="12"/>
      <c r="L13" s="12"/>
      <c r="M13" s="12"/>
    </row>
    <row r="14" spans="1:13" s="13" customFormat="1" ht="38" x14ac:dyDescent="0.2">
      <c r="A14" s="24" t="s">
        <v>24</v>
      </c>
      <c r="B14" s="20"/>
      <c r="C14" s="26"/>
      <c r="D14" s="30"/>
      <c r="E14" s="27"/>
      <c r="F14" s="27"/>
      <c r="G14" s="48"/>
      <c r="H14" s="23"/>
      <c r="I14" s="12"/>
      <c r="J14" s="12"/>
      <c r="K14" s="12"/>
      <c r="L14" s="12"/>
      <c r="M14" s="12"/>
    </row>
    <row r="15" spans="1:13" s="13" customFormat="1" ht="38" x14ac:dyDescent="0.2">
      <c r="A15" s="21" t="s">
        <v>18</v>
      </c>
      <c r="B15" s="20" t="s">
        <v>19</v>
      </c>
      <c r="C15" s="26">
        <v>45475</v>
      </c>
      <c r="D15" s="30">
        <f>E15/$B$6</f>
        <v>1.5885789631482822E-2</v>
      </c>
      <c r="E15" s="27">
        <v>25597</v>
      </c>
      <c r="F15" s="27"/>
      <c r="G15" s="48"/>
      <c r="H15" s="23" t="s">
        <v>42</v>
      </c>
      <c r="I15" s="12"/>
      <c r="J15" s="12"/>
      <c r="K15" s="12"/>
      <c r="L15" s="12"/>
      <c r="M15" s="12"/>
    </row>
    <row r="16" spans="1:13" s="13" customFormat="1" ht="38" x14ac:dyDescent="0.2">
      <c r="A16" s="21" t="s">
        <v>17</v>
      </c>
      <c r="B16" s="20" t="s">
        <v>19</v>
      </c>
      <c r="C16" s="26">
        <v>45475</v>
      </c>
      <c r="D16" s="30">
        <f>E16/$B$6</f>
        <v>8.0467665433118785E-3</v>
      </c>
      <c r="E16" s="27">
        <v>12965.87</v>
      </c>
      <c r="F16" s="27"/>
      <c r="G16" s="48"/>
      <c r="H16" s="23" t="s">
        <v>42</v>
      </c>
      <c r="I16" s="12"/>
      <c r="J16" s="12"/>
      <c r="K16" s="12"/>
      <c r="L16" s="12"/>
      <c r="M16" s="12"/>
    </row>
    <row r="17" spans="1:16" s="13" customFormat="1" ht="38" x14ac:dyDescent="0.2">
      <c r="A17" s="21" t="s">
        <v>25</v>
      </c>
      <c r="B17" s="20" t="s">
        <v>27</v>
      </c>
      <c r="C17" s="26">
        <v>45518</v>
      </c>
      <c r="D17" s="53">
        <f t="shared" ref="D17:D22" si="0">E17/$B$6</f>
        <v>3.4167759821904391E-2</v>
      </c>
      <c r="E17" s="54">
        <v>55055</v>
      </c>
      <c r="F17" s="54"/>
      <c r="G17" s="55"/>
      <c r="H17" s="23" t="s">
        <v>41</v>
      </c>
      <c r="I17" s="12"/>
      <c r="J17" s="12"/>
      <c r="K17" s="12"/>
      <c r="L17" s="12"/>
      <c r="M17" s="12"/>
    </row>
    <row r="18" spans="1:16" ht="38" x14ac:dyDescent="0.2">
      <c r="A18" s="21" t="s">
        <v>26</v>
      </c>
      <c r="B18" s="56" t="s">
        <v>27</v>
      </c>
      <c r="C18" s="26">
        <v>45518</v>
      </c>
      <c r="D18" s="53">
        <f>(E18+F18/$I$7)/$B$6</f>
        <v>2.8371370603266246E-2</v>
      </c>
      <c r="E18" s="54">
        <f>12020.04</f>
        <v>12020.04</v>
      </c>
      <c r="F18" s="54">
        <v>19870033</v>
      </c>
      <c r="G18" s="55"/>
      <c r="H18" s="23" t="s">
        <v>41</v>
      </c>
      <c r="N18" s="5"/>
      <c r="O18" s="5"/>
      <c r="P18" s="5"/>
    </row>
    <row r="19" spans="1:16" ht="38" x14ac:dyDescent="0.2">
      <c r="A19" s="21" t="s">
        <v>31</v>
      </c>
      <c r="B19" s="20" t="s">
        <v>32</v>
      </c>
      <c r="C19" s="26">
        <v>45649</v>
      </c>
      <c r="D19" s="53">
        <f t="shared" si="0"/>
        <v>6.5784806849911281E-2</v>
      </c>
      <c r="E19" s="27">
        <v>106000</v>
      </c>
      <c r="F19" s="27"/>
      <c r="G19" s="48"/>
      <c r="H19" s="23" t="s">
        <v>44</v>
      </c>
      <c r="N19" s="5"/>
      <c r="O19" s="5"/>
      <c r="P19" s="5"/>
    </row>
    <row r="20" spans="1:16" ht="38" x14ac:dyDescent="0.2">
      <c r="A20" s="21" t="s">
        <v>33</v>
      </c>
      <c r="B20" s="20" t="s">
        <v>34</v>
      </c>
      <c r="C20" s="26">
        <v>45748</v>
      </c>
      <c r="D20" s="53">
        <f t="shared" si="0"/>
        <v>2.3848233705863593E-2</v>
      </c>
      <c r="E20" s="48">
        <v>38427</v>
      </c>
      <c r="F20" s="48"/>
      <c r="G20" s="48"/>
      <c r="H20" s="23" t="s">
        <v>40</v>
      </c>
      <c r="N20" s="5"/>
      <c r="O20" s="5"/>
      <c r="P20" s="5"/>
    </row>
    <row r="21" spans="1:16" ht="38" x14ac:dyDescent="0.2">
      <c r="A21" s="21" t="s">
        <v>35</v>
      </c>
      <c r="B21" s="20" t="s">
        <v>34</v>
      </c>
      <c r="C21" s="26">
        <v>45748</v>
      </c>
      <c r="D21" s="53">
        <f>(E21+F21/$I$7)/$B$6</f>
        <v>7.7546166130638061E-3</v>
      </c>
      <c r="E21" s="48"/>
      <c r="F21" s="48">
        <v>7368375</v>
      </c>
      <c r="G21" s="48"/>
      <c r="H21" s="23" t="s">
        <v>40</v>
      </c>
      <c r="N21" s="5"/>
      <c r="O21" s="5"/>
      <c r="P21" s="5"/>
    </row>
    <row r="22" spans="1:16" ht="38" x14ac:dyDescent="0.2">
      <c r="A22" s="21" t="s">
        <v>36</v>
      </c>
      <c r="B22" s="20" t="s">
        <v>38</v>
      </c>
      <c r="C22" s="26">
        <v>45748</v>
      </c>
      <c r="D22" s="53">
        <f t="shared" si="0"/>
        <v>4.0483101279495871E-2</v>
      </c>
      <c r="E22" s="48">
        <v>65231</v>
      </c>
      <c r="F22" s="48"/>
      <c r="G22" s="48"/>
      <c r="H22" s="23" t="s">
        <v>39</v>
      </c>
      <c r="N22" s="5"/>
      <c r="O22" s="5"/>
      <c r="P22" s="5"/>
    </row>
    <row r="23" spans="1:16" ht="38" x14ac:dyDescent="0.2">
      <c r="A23" s="21" t="s">
        <v>37</v>
      </c>
      <c r="B23" s="20" t="s">
        <v>38</v>
      </c>
      <c r="C23" s="26">
        <v>45748</v>
      </c>
      <c r="D23" s="53">
        <f>(E23+F23/$I$7)/$B$6</f>
        <v>1.5238996218808906E-2</v>
      </c>
      <c r="E23" s="48">
        <v>10924.18</v>
      </c>
      <c r="F23" s="48">
        <v>8037984</v>
      </c>
      <c r="G23" s="48"/>
      <c r="H23" s="23" t="s">
        <v>39</v>
      </c>
      <c r="N23" s="5"/>
      <c r="O23" s="5"/>
      <c r="P23" s="5"/>
    </row>
    <row r="24" spans="1:16" ht="38" x14ac:dyDescent="0.2">
      <c r="A24" s="21" t="s">
        <v>45</v>
      </c>
      <c r="B24" s="20" t="s">
        <v>46</v>
      </c>
      <c r="C24" s="26">
        <v>45770</v>
      </c>
      <c r="D24" s="53">
        <f t="shared" ref="D24" si="1">(E24+F24/$I$7)/$B$6</f>
        <v>4.6110805322090172E-2</v>
      </c>
      <c r="E24" s="48">
        <v>74299</v>
      </c>
      <c r="F24" s="48">
        <v>0</v>
      </c>
      <c r="G24" s="48"/>
      <c r="H24" s="23" t="s">
        <v>50</v>
      </c>
      <c r="N24" s="5"/>
      <c r="O24" s="5"/>
      <c r="P24" s="5"/>
    </row>
    <row r="25" spans="1:16" ht="38" x14ac:dyDescent="0.2">
      <c r="A25" s="21" t="s">
        <v>47</v>
      </c>
      <c r="B25" s="20" t="s">
        <v>46</v>
      </c>
      <c r="C25" s="26">
        <v>45807</v>
      </c>
      <c r="D25" s="53">
        <f>(E25+F25/$I$7)/$B$6</f>
        <v>1.1473031250512354E-2</v>
      </c>
      <c r="E25" s="48">
        <v>4200</v>
      </c>
      <c r="F25" s="48">
        <v>8424843</v>
      </c>
      <c r="G25" s="48"/>
      <c r="H25" s="23" t="s">
        <v>50</v>
      </c>
      <c r="N25" s="5"/>
      <c r="O25" s="5"/>
      <c r="P25" s="5"/>
    </row>
    <row r="26" spans="1:16" ht="38" x14ac:dyDescent="0.2">
      <c r="A26" s="21" t="s">
        <v>48</v>
      </c>
      <c r="B26" s="20" t="s">
        <v>49</v>
      </c>
      <c r="C26" s="26">
        <v>45807</v>
      </c>
      <c r="D26" s="53">
        <f>(E26+F26/$I$7)/$B$6</f>
        <v>2.6719610203838218E-2</v>
      </c>
      <c r="E26" s="48">
        <v>4500</v>
      </c>
      <c r="F26" s="48">
        <v>22735111</v>
      </c>
      <c r="G26" s="48"/>
      <c r="H26" s="23" t="s">
        <v>43</v>
      </c>
      <c r="N26" s="5"/>
      <c r="O26" s="5"/>
      <c r="P26" s="5"/>
    </row>
    <row r="27" spans="1:16" ht="38" x14ac:dyDescent="0.2">
      <c r="A27" s="21" t="s">
        <v>51</v>
      </c>
      <c r="B27" s="20" t="s">
        <v>49</v>
      </c>
      <c r="C27" s="26">
        <v>45807</v>
      </c>
      <c r="D27" s="53">
        <f t="shared" ref="D27" si="2">(E27+F27/$I$7)/$B$6</f>
        <v>5.3852311743276898E-2</v>
      </c>
      <c r="E27" s="48">
        <v>86773</v>
      </c>
      <c r="F27" s="48"/>
      <c r="G27" s="48"/>
      <c r="H27" s="23" t="s">
        <v>43</v>
      </c>
      <c r="N27" s="5"/>
      <c r="O27" s="5"/>
      <c r="P27" s="5"/>
    </row>
    <row r="28" spans="1:16" ht="38" x14ac:dyDescent="0.2">
      <c r="A28" s="21" t="s">
        <v>55</v>
      </c>
      <c r="B28" s="20" t="s">
        <v>52</v>
      </c>
      <c r="C28" s="26">
        <v>45807</v>
      </c>
      <c r="D28" s="53">
        <f t="shared" ref="D28:D32" si="3">(E28+F28/$I$7)/$B$6</f>
        <v>1.0209905539022568E-2</v>
      </c>
      <c r="E28" s="48"/>
      <c r="F28" s="48">
        <v>9701371</v>
      </c>
      <c r="G28" s="48"/>
      <c r="H28" s="23" t="s">
        <v>54</v>
      </c>
      <c r="N28" s="5"/>
      <c r="O28" s="5"/>
      <c r="P28" s="5"/>
    </row>
    <row r="29" spans="1:16" ht="38" x14ac:dyDescent="0.2">
      <c r="A29" s="21" t="s">
        <v>56</v>
      </c>
      <c r="B29" s="20" t="s">
        <v>53</v>
      </c>
      <c r="C29" s="26">
        <v>45807</v>
      </c>
      <c r="D29" s="53">
        <f t="shared" si="3"/>
        <v>4.8366727707933828E-2</v>
      </c>
      <c r="E29" s="48">
        <v>77934</v>
      </c>
      <c r="F29" s="48"/>
      <c r="G29" s="48"/>
      <c r="H29" s="23" t="s">
        <v>54</v>
      </c>
      <c r="N29" s="5"/>
      <c r="O29" s="5"/>
      <c r="P29" s="5"/>
    </row>
    <row r="30" spans="1:16" ht="38" x14ac:dyDescent="0.2">
      <c r="A30" s="21" t="s">
        <v>57</v>
      </c>
      <c r="B30" s="20" t="s">
        <v>58</v>
      </c>
      <c r="C30" s="26">
        <v>45923</v>
      </c>
      <c r="D30" s="53">
        <f t="shared" si="3"/>
        <v>0.15116976247278385</v>
      </c>
      <c r="E30" s="48">
        <v>243582</v>
      </c>
      <c r="F30" s="48">
        <v>0</v>
      </c>
      <c r="G30" s="48"/>
      <c r="H30" s="23" t="s">
        <v>59</v>
      </c>
      <c r="N30" s="5"/>
      <c r="O30" s="5"/>
      <c r="P30" s="5"/>
    </row>
    <row r="31" spans="1:16" s="60" customFormat="1" ht="38" x14ac:dyDescent="0.2">
      <c r="A31" s="21" t="s">
        <v>60</v>
      </c>
      <c r="B31" s="20" t="s">
        <v>61</v>
      </c>
      <c r="C31" s="26">
        <v>46085</v>
      </c>
      <c r="D31" s="53">
        <f t="shared" si="3"/>
        <v>5.036447575746085E-2</v>
      </c>
      <c r="E31" s="55">
        <v>81153</v>
      </c>
      <c r="F31" s="55"/>
      <c r="G31" s="55"/>
      <c r="H31" s="23" t="s">
        <v>62</v>
      </c>
      <c r="I31" s="2"/>
      <c r="J31" s="59"/>
      <c r="K31" s="59"/>
      <c r="L31" s="59"/>
      <c r="M31" s="59"/>
    </row>
    <row r="32" spans="1:16" s="60" customFormat="1" ht="38" x14ac:dyDescent="0.2">
      <c r="A32" s="21" t="s">
        <v>63</v>
      </c>
      <c r="B32" s="20" t="s">
        <v>64</v>
      </c>
      <c r="C32" s="26">
        <v>46106</v>
      </c>
      <c r="D32" s="53">
        <f t="shared" si="3"/>
        <v>5.1203542350489906E-2</v>
      </c>
      <c r="E32" s="55">
        <v>82505</v>
      </c>
      <c r="F32" s="55"/>
      <c r="G32" s="55"/>
      <c r="H32" s="23" t="s">
        <v>65</v>
      </c>
      <c r="I32" s="2"/>
      <c r="J32" s="59"/>
      <c r="K32" s="59"/>
      <c r="L32" s="59"/>
      <c r="M32" s="59"/>
    </row>
    <row r="33" spans="1:16" s="60" customFormat="1" ht="38" x14ac:dyDescent="0.2">
      <c r="A33" s="21" t="s">
        <v>66</v>
      </c>
      <c r="B33" s="20" t="s">
        <v>64</v>
      </c>
      <c r="C33" s="26">
        <v>46160</v>
      </c>
      <c r="D33" s="53">
        <f t="shared" ref="D33" si="4">(E33+F33/$I$7)/$B$6</f>
        <v>4.552184511736785E-2</v>
      </c>
      <c r="E33" s="55">
        <v>73350</v>
      </c>
      <c r="F33" s="55"/>
      <c r="G33" s="55"/>
      <c r="H33" s="23" t="s">
        <v>67</v>
      </c>
      <c r="I33" s="2"/>
      <c r="J33" s="59"/>
      <c r="K33" s="59"/>
      <c r="L33" s="59"/>
      <c r="M33" s="59"/>
    </row>
    <row r="34" spans="1:16" s="60" customFormat="1" x14ac:dyDescent="0.2">
      <c r="A34" s="21"/>
      <c r="B34" s="20"/>
      <c r="C34" s="26"/>
      <c r="D34" s="53"/>
      <c r="E34" s="55"/>
      <c r="F34" s="55"/>
      <c r="G34" s="55"/>
      <c r="H34" s="23"/>
      <c r="I34" s="2"/>
      <c r="J34" s="59"/>
      <c r="K34" s="59"/>
      <c r="L34" s="59"/>
      <c r="M34" s="59"/>
    </row>
    <row r="35" spans="1:16" ht="38" x14ac:dyDescent="0.2">
      <c r="A35" s="24" t="s">
        <v>20</v>
      </c>
      <c r="B35" s="20"/>
      <c r="C35" s="26"/>
      <c r="D35" s="61">
        <f>(E35+F35/I7)/$B$6</f>
        <v>0.6890516136145175</v>
      </c>
      <c r="E35" s="62">
        <f>SUM(E13:E32)</f>
        <v>981166.09000000008</v>
      </c>
      <c r="F35" s="62">
        <f>SUM(F13:F30)</f>
        <v>76137717</v>
      </c>
      <c r="G35" s="48"/>
      <c r="H35" s="23"/>
      <c r="N35" s="5"/>
      <c r="O35" s="5"/>
      <c r="P35" s="5"/>
    </row>
    <row r="36" spans="1:16" ht="20" thickBot="1" x14ac:dyDescent="0.25">
      <c r="A36" s="41" t="s">
        <v>21</v>
      </c>
      <c r="B36" s="25"/>
      <c r="C36" s="34"/>
      <c r="D36" s="32">
        <f t="shared" ref="D36" si="5">E36/$B$6</f>
        <v>0.3109483863854825</v>
      </c>
      <c r="E36" s="28">
        <f>B6-(E35+F35/I7)</f>
        <v>501035.58154485328</v>
      </c>
      <c r="F36" s="28"/>
      <c r="G36" s="49"/>
      <c r="H36" s="29"/>
      <c r="N36" s="5"/>
      <c r="O36" s="5"/>
      <c r="P36" s="5"/>
    </row>
    <row r="37" spans="1:16" x14ac:dyDescent="0.2">
      <c r="A37" s="35"/>
      <c r="N37" s="36"/>
    </row>
    <row r="39" spans="1:16" x14ac:dyDescent="0.2">
      <c r="F39" s="14" t="s">
        <v>6</v>
      </c>
      <c r="G39" s="14"/>
      <c r="H39" s="52"/>
      <c r="I39" s="57"/>
      <c r="J39" s="14"/>
    </row>
    <row r="40" spans="1:16" x14ac:dyDescent="0.2">
      <c r="F40" s="14"/>
      <c r="G40" s="14"/>
      <c r="H40" s="52"/>
      <c r="I40" s="57"/>
      <c r="J40" s="14"/>
    </row>
    <row r="41" spans="1:16" x14ac:dyDescent="0.2">
      <c r="F41" s="14"/>
      <c r="G41" s="14"/>
      <c r="H41" s="52"/>
      <c r="I41" s="57"/>
      <c r="J41" s="14"/>
    </row>
    <row r="43" spans="1:16" x14ac:dyDescent="0.2">
      <c r="H43" s="52"/>
      <c r="I43" s="52"/>
    </row>
    <row r="49" spans="10:10" x14ac:dyDescent="0.2">
      <c r="J49" s="15"/>
    </row>
  </sheetData>
  <mergeCells count="9">
    <mergeCell ref="I9:J9"/>
    <mergeCell ref="K9:L9"/>
    <mergeCell ref="B9:B10"/>
    <mergeCell ref="A9:A10"/>
    <mergeCell ref="H9:H10"/>
    <mergeCell ref="C9:C10"/>
    <mergeCell ref="D9:D10"/>
    <mergeCell ref="G9:G10"/>
    <mergeCell ref="E9:F10"/>
  </mergeCells>
  <phoneticPr fontId="2" type="noConversion"/>
  <pageMargins left="0.25" right="0.25" top="0.75" bottom="0.75" header="0.3" footer="0.3"/>
  <pageSetup paperSize="9" scale="5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2E054CAA181647A3E90D2EBEF94352" ma:contentTypeVersion="11" ma:contentTypeDescription="Crée un document." ma:contentTypeScope="" ma:versionID="1fd0a10384d400b6696781511d82120d">
  <xsd:schema xmlns:xsd="http://www.w3.org/2001/XMLSchema" xmlns:xs="http://www.w3.org/2001/XMLSchema" xmlns:p="http://schemas.microsoft.com/office/2006/metadata/properties" xmlns:ns3="f1edd8dd-ef2a-41ec-84de-e23f916f39f5" xmlns:ns4="b6ab1f57-e748-40ce-b853-58171283c7cf" targetNamespace="http://schemas.microsoft.com/office/2006/metadata/properties" ma:root="true" ma:fieldsID="65741d0ccac34d14674ac32476030725" ns3:_="" ns4:_="">
    <xsd:import namespace="f1edd8dd-ef2a-41ec-84de-e23f916f39f5"/>
    <xsd:import namespace="b6ab1f57-e748-40ce-b853-58171283c7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dd8dd-ef2a-41ec-84de-e23f916f39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b1f57-e748-40ce-b853-58171283c7c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1E57E4-0DF3-40BF-9EE6-0A30E343F4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edd8dd-ef2a-41ec-84de-e23f916f39f5"/>
    <ds:schemaRef ds:uri="b6ab1f57-e748-40ce-b853-58171283c7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AF4813-5C8E-4D1D-A1FC-6C71CEEA4D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EECF9C-37B3-4515-9633-76F647FDFBBC}">
  <ds:schemaRefs>
    <ds:schemaRef ds:uri="http://schemas.microsoft.com/office/2006/metadata/properties"/>
    <ds:schemaRef ds:uri="f1edd8dd-ef2a-41ec-84de-e23f916f39f5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b6ab1f57-e748-40ce-b853-58171283c7c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EXP-IRAF</vt:lpstr>
      <vt:lpstr>'EXP-IRAF'!Print_Area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Mpasche NIOUKY</dc:creator>
  <cp:lastModifiedBy>maodo sene</cp:lastModifiedBy>
  <cp:lastPrinted>2024-07-02T17:45:12Z</cp:lastPrinted>
  <dcterms:created xsi:type="dcterms:W3CDTF">2019-12-18T08:41:10Z</dcterms:created>
  <dcterms:modified xsi:type="dcterms:W3CDTF">2026-05-18T10:36:12Z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0x010100B82E054CAA181647A3E90D2EBEF94352</vt:lpwstr>
  </property>
</Properties>
</file>