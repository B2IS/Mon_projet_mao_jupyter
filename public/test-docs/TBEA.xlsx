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odosene/Desktop/BEST/Kickoff_meeting/BEST-Contrats-Localités et traces finaux du BEST_18012024/TBEA-Lot 1&amp;2/Facturation/"/>
    </mc:Choice>
  </mc:AlternateContent>
  <xr:revisionPtr revIDLastSave="0" documentId="13_ncr:1_{1B75A69A-3FB2-AF4A-B3A1-828C1C332C10}" xr6:coauthVersionLast="47" xr6:coauthVersionMax="47" xr10:uidLastSave="{00000000-0000-0000-0000-000000000000}"/>
  <bookViews>
    <workbookView xWindow="4340" yWindow="760" windowWidth="30220" windowHeight="20380" xr2:uid="{00000000-000D-0000-FFFF-FFFF00000000}"/>
  </bookViews>
  <sheets>
    <sheet name="RECAP" sheetId="3" r:id="rId1"/>
    <sheet name="LOT1-BEST" sheetId="1" r:id="rId2"/>
    <sheet name="LOT2-BEST" sheetId="2" r:id="rId3"/>
  </sheets>
  <definedNames>
    <definedName name="_xlnm.Print_Area" localSheetId="1">'LOT1-BEST'!$A$1:$N$60</definedName>
    <definedName name="_xlnm.Print_Area" localSheetId="2">'LOT2-BEST'!$A$1:$O$62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" l="1"/>
  <c r="F45" i="1"/>
  <c r="E44" i="1"/>
  <c r="D42" i="1"/>
  <c r="H42" i="1" s="1"/>
  <c r="D41" i="1"/>
  <c r="F41" i="1" s="1"/>
  <c r="K41" i="1" s="1"/>
  <c r="E44" i="2"/>
  <c r="I44" i="2" s="1"/>
  <c r="E43" i="2"/>
  <c r="I43" i="2" s="1"/>
  <c r="I41" i="2"/>
  <c r="E42" i="2"/>
  <c r="G42" i="2" s="1"/>
  <c r="L42" i="2" s="1"/>
  <c r="D40" i="1"/>
  <c r="F40" i="1" s="1"/>
  <c r="H37" i="1"/>
  <c r="H38" i="1"/>
  <c r="H39" i="1"/>
  <c r="F37" i="1"/>
  <c r="K37" i="1" s="1"/>
  <c r="F38" i="1"/>
  <c r="K38" i="1" s="1"/>
  <c r="F39" i="1"/>
  <c r="K39" i="1" s="1"/>
  <c r="G41" i="2"/>
  <c r="L41" i="2" s="1"/>
  <c r="F39" i="2"/>
  <c r="F40" i="2"/>
  <c r="G38" i="2"/>
  <c r="G39" i="2"/>
  <c r="G40" i="2"/>
  <c r="L40" i="2" s="1"/>
  <c r="I40" i="2"/>
  <c r="I39" i="2"/>
  <c r="H39" i="2"/>
  <c r="H40" i="2"/>
  <c r="H41" i="1" l="1"/>
  <c r="F42" i="1"/>
  <c r="K42" i="1" s="1"/>
  <c r="G44" i="2"/>
  <c r="L44" i="2" s="1"/>
  <c r="G43" i="2"/>
  <c r="L43" i="2" s="1"/>
  <c r="I42" i="2"/>
  <c r="K40" i="1"/>
  <c r="H40" i="1"/>
  <c r="L38" i="2"/>
  <c r="I37" i="2"/>
  <c r="H37" i="2"/>
  <c r="G37" i="2"/>
  <c r="L37" i="2" s="1"/>
  <c r="F37" i="2"/>
  <c r="I36" i="2"/>
  <c r="H36" i="2"/>
  <c r="G36" i="2"/>
  <c r="L36" i="2" s="1"/>
  <c r="F36" i="2"/>
  <c r="I38" i="2"/>
  <c r="H38" i="2"/>
  <c r="F38" i="2"/>
  <c r="H35" i="2"/>
  <c r="F35" i="2"/>
  <c r="I35" i="2"/>
  <c r="I34" i="2"/>
  <c r="H34" i="2"/>
  <c r="G34" i="2"/>
  <c r="L34" i="2" s="1"/>
  <c r="F34" i="2"/>
  <c r="I33" i="2"/>
  <c r="H33" i="2"/>
  <c r="G33" i="2"/>
  <c r="L33" i="2" s="1"/>
  <c r="F33" i="2"/>
  <c r="G37" i="1"/>
  <c r="E37" i="1"/>
  <c r="G38" i="1"/>
  <c r="E38" i="1"/>
  <c r="H36" i="1"/>
  <c r="G36" i="1"/>
  <c r="F36" i="1"/>
  <c r="K36" i="1" s="1"/>
  <c r="E36" i="1"/>
  <c r="H35" i="1"/>
  <c r="G35" i="1"/>
  <c r="F35" i="1"/>
  <c r="K35" i="1" s="1"/>
  <c r="E35" i="1"/>
  <c r="H29" i="2"/>
  <c r="H30" i="2"/>
  <c r="H31" i="2"/>
  <c r="H32" i="2"/>
  <c r="F32" i="2"/>
  <c r="E33" i="1"/>
  <c r="G33" i="1"/>
  <c r="E34" i="1"/>
  <c r="F34" i="1"/>
  <c r="K34" i="1" s="1"/>
  <c r="G34" i="1"/>
  <c r="H34" i="1"/>
  <c r="I31" i="2"/>
  <c r="G31" i="2"/>
  <c r="L31" i="2" s="1"/>
  <c r="E32" i="2"/>
  <c r="G32" i="2" s="1"/>
  <c r="L32" i="2" s="1"/>
  <c r="I30" i="2"/>
  <c r="F29" i="2"/>
  <c r="F30" i="2"/>
  <c r="F31" i="2"/>
  <c r="H31" i="1"/>
  <c r="H32" i="1"/>
  <c r="G30" i="1"/>
  <c r="G31" i="1"/>
  <c r="G32" i="1"/>
  <c r="F32" i="1"/>
  <c r="K32" i="1" s="1"/>
  <c r="E27" i="1"/>
  <c r="E28" i="1"/>
  <c r="E29" i="1"/>
  <c r="E30" i="1"/>
  <c r="E31" i="1"/>
  <c r="E32" i="1"/>
  <c r="D33" i="1"/>
  <c r="F33" i="1" s="1"/>
  <c r="K33" i="1" s="1"/>
  <c r="K23" i="1"/>
  <c r="G30" i="2"/>
  <c r="L30" i="2" s="1"/>
  <c r="G22" i="1"/>
  <c r="G23" i="1"/>
  <c r="G24" i="1"/>
  <c r="G25" i="1"/>
  <c r="G26" i="1"/>
  <c r="G27" i="1"/>
  <c r="G28" i="1"/>
  <c r="G29" i="1"/>
  <c r="H23" i="1"/>
  <c r="H24" i="1"/>
  <c r="H25" i="1"/>
  <c r="H26" i="1"/>
  <c r="H28" i="1"/>
  <c r="H29" i="1"/>
  <c r="H30" i="1"/>
  <c r="F28" i="1"/>
  <c r="K28" i="1" s="1"/>
  <c r="F29" i="1"/>
  <c r="K29" i="1" s="1"/>
  <c r="F30" i="1"/>
  <c r="F31" i="1"/>
  <c r="K31" i="1" s="1"/>
  <c r="I29" i="2"/>
  <c r="G29" i="2"/>
  <c r="L29" i="2" s="1"/>
  <c r="H28" i="2"/>
  <c r="F28" i="2"/>
  <c r="E27" i="2"/>
  <c r="G27" i="2" s="1"/>
  <c r="H27" i="2"/>
  <c r="F27" i="2"/>
  <c r="L26" i="2"/>
  <c r="E26" i="2"/>
  <c r="G26" i="2" s="1"/>
  <c r="D27" i="1"/>
  <c r="F27" i="1" s="1"/>
  <c r="K27" i="1" s="1"/>
  <c r="F23" i="1"/>
  <c r="F24" i="1"/>
  <c r="K24" i="1" s="1"/>
  <c r="F25" i="1"/>
  <c r="K25" i="1" s="1"/>
  <c r="F26" i="1"/>
  <c r="K26" i="1" s="1"/>
  <c r="H26" i="2"/>
  <c r="F26" i="2"/>
  <c r="I21" i="2"/>
  <c r="I22" i="2"/>
  <c r="I23" i="2"/>
  <c r="I24" i="2"/>
  <c r="I25" i="2"/>
  <c r="H21" i="2"/>
  <c r="H22" i="2"/>
  <c r="H23" i="2"/>
  <c r="H24" i="2"/>
  <c r="H25" i="2"/>
  <c r="G21" i="2"/>
  <c r="L21" i="2" s="1"/>
  <c r="G22" i="2"/>
  <c r="L22" i="2" s="1"/>
  <c r="G23" i="2"/>
  <c r="L23" i="2" s="1"/>
  <c r="G24" i="2"/>
  <c r="L24" i="2" s="1"/>
  <c r="G25" i="2"/>
  <c r="L25" i="2" s="1"/>
  <c r="F21" i="2"/>
  <c r="F22" i="2"/>
  <c r="F23" i="2"/>
  <c r="F24" i="2"/>
  <c r="F25" i="2"/>
  <c r="E25" i="1"/>
  <c r="E26" i="1"/>
  <c r="E24" i="1"/>
  <c r="E23" i="1"/>
  <c r="G19" i="1"/>
  <c r="G20" i="1"/>
  <c r="G21" i="1"/>
  <c r="H20" i="1"/>
  <c r="H21" i="1"/>
  <c r="H22" i="1"/>
  <c r="F22" i="1"/>
  <c r="K22" i="1" s="1"/>
  <c r="E21" i="1"/>
  <c r="G17" i="2"/>
  <c r="L17" i="2" s="1"/>
  <c r="I17" i="2"/>
  <c r="F18" i="2"/>
  <c r="H18" i="2"/>
  <c r="G19" i="2"/>
  <c r="L19" i="2" s="1"/>
  <c r="I19" i="2"/>
  <c r="F20" i="2"/>
  <c r="H20" i="2"/>
  <c r="H19" i="1"/>
  <c r="K19" i="1"/>
  <c r="H17" i="1"/>
  <c r="K17" i="1"/>
  <c r="G18" i="1"/>
  <c r="G35" i="2" l="1"/>
  <c r="L35" i="2" s="1"/>
  <c r="I32" i="2"/>
  <c r="H33" i="1"/>
  <c r="H27" i="1"/>
  <c r="I26" i="2"/>
  <c r="I27" i="2"/>
  <c r="C14" i="2"/>
  <c r="E16" i="2" s="1"/>
  <c r="I55" i="2" s="1"/>
  <c r="B13" i="2"/>
  <c r="D15" i="2" s="1"/>
  <c r="H54" i="2" s="1"/>
  <c r="C9" i="2"/>
  <c r="B9" i="1"/>
  <c r="D16" i="1"/>
  <c r="C15" i="1"/>
  <c r="G51" i="1" s="1"/>
  <c r="F16" i="1" l="1"/>
  <c r="H52" i="1"/>
  <c r="E15" i="1"/>
  <c r="F15" i="2"/>
  <c r="G16" i="2"/>
  <c r="G48" i="2" s="1"/>
  <c r="F47" i="1" l="1"/>
  <c r="F47" i="2"/>
  <c r="F52" i="2" s="1"/>
  <c r="G53" i="2"/>
  <c r="G50" i="2"/>
  <c r="E49" i="1"/>
  <c r="E46" i="1"/>
  <c r="F51" i="2" l="1"/>
  <c r="C11" i="3" s="1"/>
  <c r="F50" i="1"/>
  <c r="C10" i="3"/>
  <c r="D11" i="3"/>
  <c r="F49" i="2"/>
  <c r="D10" i="3"/>
  <c r="C12" i="3" l="1"/>
  <c r="D1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Maodo SENE</author>
  </authors>
  <commentList>
    <comment ref="F17" authorId="0" shapeId="0" xr:uid="{923834A2-E59E-E440-A232-91F914154F0B}">
      <text>
        <r>
          <rPr>
            <b/>
            <sz val="10"/>
            <color rgb="FF000000"/>
            <rFont val="Tahoma"/>
            <family val="2"/>
          </rPr>
          <t>Maodo SENE: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65% de lattachement selon les modalités de paiement</t>
        </r>
      </text>
    </comment>
    <comment ref="H17" authorId="0" shapeId="0" xr:uid="{8A455785-4098-6E4E-9FF1-99E340888AF4}">
      <text>
        <r>
          <rPr>
            <b/>
            <sz val="10"/>
            <color rgb="FF000000"/>
            <rFont val="Tahoma"/>
            <family val="2"/>
          </rPr>
          <t>Maodo SENE: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Remboursement de 25% suivant l'attachement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Maodo SENE</author>
    <author>tc={7E610961-8404-473F-B1A8-AAF634151ABC}</author>
  </authors>
  <commentList>
    <comment ref="G17" authorId="0" shapeId="0" xr:uid="{A75DE121-B16D-8F40-92B2-B81EB731C7D2}">
      <text>
        <r>
          <rPr>
            <b/>
            <sz val="10"/>
            <color rgb="FF000000"/>
            <rFont val="Tahoma"/>
            <family val="2"/>
          </rPr>
          <t>Maodo SENE: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65% de lattachement selon les modalités de paiement
</t>
        </r>
      </text>
    </comment>
    <comment ref="I17" authorId="0" shapeId="0" xr:uid="{2E292E5C-3363-FA4A-83A6-1C16E2DF0344}">
      <text>
        <r>
          <rPr>
            <b/>
            <sz val="10"/>
            <color rgb="FF000000"/>
            <rFont val="Tahoma"/>
            <family val="2"/>
          </rPr>
          <t>Maodo SENE: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Remboursement de 25% suivant l'attachement 
</t>
        </r>
      </text>
    </comment>
    <comment ref="F39" authorId="1" shapeId="0" xr:uid="{7E610961-8404-473F-B1A8-AAF634151ABC}">
      <text>
        <t>[Threaded comment]
Your version of Excel allows you to read this threaded comment; however, any edits to it will get removed if the file is opened in a newer version of Excel. Learn more: https://go.microsoft.com/fwlink/?linkid=870924
Comment:
    65%</t>
      </text>
    </comment>
  </commentList>
</comments>
</file>

<file path=xl/sharedStrings.xml><?xml version="1.0" encoding="utf-8"?>
<sst xmlns="http://schemas.openxmlformats.org/spreadsheetml/2006/main" count="209" uniqueCount="113">
  <si>
    <t xml:space="preserve">Objet : </t>
  </si>
  <si>
    <t>#</t>
  </si>
  <si>
    <t>N° Facture</t>
  </si>
  <si>
    <t>Date de certification</t>
  </si>
  <si>
    <t>Commentaires</t>
  </si>
  <si>
    <t>Montant :</t>
  </si>
  <si>
    <t>Budget HTVA</t>
  </si>
  <si>
    <t>RG HTVA</t>
  </si>
  <si>
    <t>Sommes Factures HTVA</t>
  </si>
  <si>
    <t>% décaissement</t>
  </si>
  <si>
    <t>N° Contrat :</t>
  </si>
  <si>
    <t>NG-ECOWAS-DEM-315397-CW-RFB</t>
  </si>
  <si>
    <t xml:space="preserve">Entreprise : </t>
  </si>
  <si>
    <t xml:space="preserve">Taux Dollars : </t>
  </si>
  <si>
    <t>TBEA Co, LTD.</t>
  </si>
  <si>
    <t>BEST-Lot 1 (408 Localités) : Réseaux de distribution des postes des Régions de Ziguinchor, Sédhiou et du département
de Medina Yoro Foulah de la région de Kolda</t>
  </si>
  <si>
    <t>Décaissement (PART ETRANGERE &amp; LOCALE)</t>
  </si>
  <si>
    <t>Total décaissement (C CFA)</t>
  </si>
  <si>
    <t>Reliquat décaissement (PART ETRANGERE &amp; LOCALE)</t>
  </si>
  <si>
    <t>Part etrangère:</t>
  </si>
  <si>
    <t>Part locale:</t>
  </si>
  <si>
    <t>NB: Taux BCEAO à l'attribution</t>
  </si>
  <si>
    <t>DER/DPD/MS</t>
  </si>
  <si>
    <t>Paiement avance de démarrage (25% du montant du contrat)</t>
  </si>
  <si>
    <t>SIGNATURE ET CACHET</t>
  </si>
  <si>
    <t>BEST  Lot 2 (308 Localités) : Lot 2 : réseaux de distribution des postes de la Région de Kolda excepté le département de 
Médina Yoro Foulah</t>
  </si>
  <si>
    <t>ETRANGERE($)</t>
  </si>
  <si>
    <t>LOCALE(XOF)</t>
  </si>
  <si>
    <t>FACTURE</t>
  </si>
  <si>
    <t>RESTE A FAIRE</t>
  </si>
  <si>
    <t>BEST-Lot 1 &amp; 2</t>
  </si>
  <si>
    <t>Total</t>
  </si>
  <si>
    <t>LOTS</t>
  </si>
  <si>
    <t>Lot 1</t>
  </si>
  <si>
    <t>Lot 2</t>
  </si>
  <si>
    <t>TVA</t>
  </si>
  <si>
    <t>Paiement Quantité FAT 1</t>
  </si>
  <si>
    <t xml:space="preserve">Paiement Etude de conception </t>
  </si>
  <si>
    <t>N° TBEA-LOT1-2024-3</t>
  </si>
  <si>
    <t>N° TBEA-LOT1-2024-4</t>
  </si>
  <si>
    <t>Attachement HTVA</t>
  </si>
  <si>
    <t>Paiement Fourniture poteaux et etudes</t>
  </si>
  <si>
    <t>Paiement Quantité FAT 2</t>
  </si>
  <si>
    <t>N° TBEA-LOT2-2024-05</t>
  </si>
  <si>
    <t>N° TBEA-LOT2-2024-06</t>
  </si>
  <si>
    <t>N° TBEA-LOT2-2024-4</t>
  </si>
  <si>
    <t>N° TBEA-LOT2-2024-3</t>
  </si>
  <si>
    <t>N° TBEA-LOT2-2024-1</t>
  </si>
  <si>
    <t>N° TBEA-LOT2-2024-2</t>
  </si>
  <si>
    <t>N° TBEA-LOT1-2024-2</t>
  </si>
  <si>
    <t>N° TBEA-LOT1-2024-1</t>
  </si>
  <si>
    <t>N° TBEA-LOT1-2024-05</t>
  </si>
  <si>
    <t>N° TBEA-LOT1-2024-06</t>
  </si>
  <si>
    <t>Restitution Accompte 25% HTVA</t>
  </si>
  <si>
    <t>Reliquat Restitution Accompte 25%</t>
  </si>
  <si>
    <t xml:space="preserve">TVA </t>
  </si>
  <si>
    <t>TBEA-LOT1-2024-08-1</t>
  </si>
  <si>
    <t>TBEA-LOT1-2024-08-2</t>
  </si>
  <si>
    <t>TBEA-LOT1-2024-08-3</t>
  </si>
  <si>
    <t>Decompte BOQ2 Materiel d'origine locale</t>
  </si>
  <si>
    <t xml:space="preserve">Décompte BOQ1-Matériel d'origines etrangeres </t>
  </si>
  <si>
    <t>TBEA-LOT1-2024-08-4</t>
  </si>
  <si>
    <t>TBEA-LOT1-2024-08-5</t>
  </si>
  <si>
    <t>TBEA-LOT2-2024-08-1</t>
  </si>
  <si>
    <t>Decompte BOQ2 Materiel d'origine etrangere</t>
  </si>
  <si>
    <t>Décompte BOQ1-Matériel d'origine locale</t>
  </si>
  <si>
    <t>TBEA-LOT2-2024-08-2</t>
  </si>
  <si>
    <t>TBEA-LOT2-2024-08-3</t>
  </si>
  <si>
    <t>TBEA-LOT2-2024-08-4</t>
  </si>
  <si>
    <t>TBEA-LOT1-2025-01</t>
  </si>
  <si>
    <t>Decompte BOQ2 et 4 Materiel d'origine local et etudes</t>
  </si>
  <si>
    <t>Decompte BOQ2 et 4 Materiel d'origine locale et etudes</t>
  </si>
  <si>
    <t>TBEA-LOT1-2025-02</t>
  </si>
  <si>
    <t>TBEA-LOT2-2025-01</t>
  </si>
  <si>
    <t>TBEA-LOT2-2025-02</t>
  </si>
  <si>
    <t>TBEA-LOT1-2025-03</t>
  </si>
  <si>
    <t xml:space="preserve">Decompte BOQ1-Materiel d'origines etrangeres </t>
  </si>
  <si>
    <t>TBEA-LOT1-2025-04</t>
  </si>
  <si>
    <t>Decompte BOQ2-Materiel d'origines locales (poteaux beton)</t>
  </si>
  <si>
    <t>TBEA-LOT2-2025-03</t>
  </si>
  <si>
    <t>TBEA-LOT2-2025-04</t>
  </si>
  <si>
    <t xml:space="preserve"> TBEA-LOT2-2025-05</t>
  </si>
  <si>
    <t>TBEA-LOT1-2025-05</t>
  </si>
  <si>
    <t xml:space="preserve"> </t>
  </si>
  <si>
    <t>TBEA-LOT1-2025-07</t>
  </si>
  <si>
    <t>TBEA-LOT1-2025-06</t>
  </si>
  <si>
    <t>Decompte BOQ2-Materiel d'origines locales (poteaux beton) et BOQ4 : Etude</t>
  </si>
  <si>
    <t xml:space="preserve"> TBEA-LOT2-2025-07</t>
  </si>
  <si>
    <t xml:space="preserve"> TBEA-LOT2-2025-06</t>
  </si>
  <si>
    <t xml:space="preserve">Decompte BOQ2-Materiel d'origines locales (poteaux beton) </t>
  </si>
  <si>
    <t>TBEA-LOT1-2025-09</t>
  </si>
  <si>
    <t>TBEA-LOT1-2025-08</t>
  </si>
  <si>
    <t>TBEA-LOT2-2025-09</t>
  </si>
  <si>
    <t>TBEA-LOT2-2025-08</t>
  </si>
  <si>
    <t>TBEA-LOT1-2025-10</t>
  </si>
  <si>
    <t>TBEA-LOT1-2025-11</t>
  </si>
  <si>
    <t>Decompte BOQ1-Materiel d'origines etrangeres (Batteries Condensateurs)</t>
  </si>
  <si>
    <t>TBEA-LOT1-2025-12</t>
  </si>
  <si>
    <t>Decompte BOQ1-Materiel d'origines etrangeres (cavbles 240 et 95 mm2)</t>
  </si>
  <si>
    <t xml:space="preserve"> TBEA-LOT2-2025-10</t>
  </si>
  <si>
    <t>TBEA-LOT2-2025-11</t>
  </si>
  <si>
    <t xml:space="preserve"> TBEA-LOT2-2025-12</t>
  </si>
  <si>
    <t>TBEA-LOT2-2025-13</t>
  </si>
  <si>
    <t>TBEA-LOT2-2025-14</t>
  </si>
  <si>
    <t>TBEA-LOT2-2025-15</t>
  </si>
  <si>
    <t>TBEA-LOT2-2025-16</t>
  </si>
  <si>
    <t>TBEA-LOT1-2025-13</t>
  </si>
  <si>
    <t>TBEA-LOT1-FCFA-2025-15</t>
  </si>
  <si>
    <t>TBEA-LOT2-FCFA-2025-16</t>
  </si>
  <si>
    <t>Decompte BOQ2 et 4-Materiel d'origines locales (poteaux beton)</t>
  </si>
  <si>
    <t>TBEA-LOT1-FCFA-2025-16</t>
  </si>
  <si>
    <t>TBEA-LOT2-FCFA-2025-17</t>
  </si>
  <si>
    <t>TBEA-LOT1-FCFA-2025-17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</si>
</sst>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 * #,##0.00_)\ _C_F_A_ ;_ * \(#,##0.00\)\ _C_F_A_ ;_ * &quot;-&quot;??_)\ _C_F_A_ ;_ @_ "/>
    <numFmt numFmtId="166" formatCode="_-* #,##0_-;\-* #,##0_-;_-* &quot;-&quot;??_-;_-@_-"/>
    <numFmt numFmtId="167" formatCode="_-* #,##0\ _€_-;\-* #,##0\ _€_-;_-* &quot;-&quot;??\ _€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b/>
      <u/>
      <sz val="12"/>
      <color theme="1"/>
      <name val="Verdana"/>
      <family val="2"/>
    </font>
    <font>
      <b/>
      <sz val="14"/>
      <color theme="1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6"/>
      <color theme="1"/>
      <name val="Verdana"/>
      <family val="2"/>
    </font>
    <font>
      <sz val="10"/>
      <color rgb="FF000000"/>
      <name val="Calibri"/>
      <family val="2"/>
    </font>
    <font>
      <sz val="12"/>
      <color rgb="FF000000"/>
      <name val="Verdana"/>
      <family val="2"/>
    </font>
    <font>
      <b/>
      <sz val="12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27">
    <xf numFmtId="0" fontId="0" fillId="0" borderId="0" xfId="0"/>
    <xf numFmtId="0" fontId="2" fillId="0" borderId="0" xfId="0" applyFont="1" applyAlignment="1">
      <alignment vertical="top"/>
    </xf>
    <xf numFmtId="0" fontId="5" fillId="0" borderId="6" xfId="0" applyFont="1" applyBorder="1" applyAlignment="1">
      <alignment horizontal="right" vertical="top"/>
    </xf>
    <xf numFmtId="0" fontId="5" fillId="0" borderId="7" xfId="0" applyFont="1" applyBorder="1" applyAlignment="1">
      <alignment horizontal="right" vertical="top"/>
    </xf>
    <xf numFmtId="1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1" applyNumberFormat="1" applyFont="1" applyAlignment="1">
      <alignment horizontal="right" vertical="top"/>
    </xf>
    <xf numFmtId="0" fontId="7" fillId="0" borderId="0" xfId="0" applyFont="1" applyAlignment="1">
      <alignment vertical="top" wrapText="1"/>
    </xf>
    <xf numFmtId="0" fontId="7" fillId="0" borderId="0" xfId="0" applyFont="1"/>
    <xf numFmtId="1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166" fontId="7" fillId="0" borderId="0" xfId="1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right" vertical="top"/>
    </xf>
    <xf numFmtId="164" fontId="7" fillId="0" borderId="7" xfId="1" applyFont="1" applyBorder="1" applyAlignment="1">
      <alignment vertical="top"/>
    </xf>
    <xf numFmtId="164" fontId="7" fillId="0" borderId="6" xfId="1" applyFont="1" applyBorder="1" applyAlignment="1">
      <alignment vertical="top"/>
    </xf>
    <xf numFmtId="0" fontId="7" fillId="0" borderId="11" xfId="1" applyNumberFormat="1" applyFont="1" applyBorder="1" applyAlignment="1">
      <alignment horizontal="right" vertical="top"/>
    </xf>
    <xf numFmtId="164" fontId="7" fillId="0" borderId="11" xfId="1" applyFont="1" applyBorder="1" applyAlignment="1">
      <alignment vertical="top"/>
    </xf>
    <xf numFmtId="164" fontId="7" fillId="0" borderId="11" xfId="1" applyFont="1" applyBorder="1" applyAlignment="1">
      <alignment vertical="top" wrapText="1"/>
    </xf>
    <xf numFmtId="164" fontId="7" fillId="0" borderId="0" xfId="1" applyFont="1"/>
    <xf numFmtId="14" fontId="7" fillId="0" borderId="11" xfId="1" applyNumberFormat="1" applyFont="1" applyBorder="1" applyAlignment="1">
      <alignment vertical="top"/>
    </xf>
    <xf numFmtId="0" fontId="7" fillId="0" borderId="5" xfId="0" applyFont="1" applyBorder="1" applyAlignment="1">
      <alignment vertical="top"/>
    </xf>
    <xf numFmtId="9" fontId="7" fillId="0" borderId="13" xfId="2" applyFont="1" applyBorder="1" applyAlignment="1">
      <alignment vertical="top"/>
    </xf>
    <xf numFmtId="9" fontId="7" fillId="0" borderId="14" xfId="2" applyFont="1" applyBorder="1" applyAlignment="1">
      <alignment vertical="top"/>
    </xf>
    <xf numFmtId="9" fontId="7" fillId="0" borderId="9" xfId="2" applyFont="1" applyBorder="1" applyAlignment="1">
      <alignment vertical="top"/>
    </xf>
    <xf numFmtId="0" fontId="8" fillId="0" borderId="0" xfId="0" applyFont="1" applyAlignment="1">
      <alignment vertical="top"/>
    </xf>
    <xf numFmtId="165" fontId="7" fillId="0" borderId="0" xfId="0" applyNumberFormat="1" applyFont="1" applyAlignment="1">
      <alignment vertical="top"/>
    </xf>
    <xf numFmtId="166" fontId="7" fillId="2" borderId="6" xfId="1" applyNumberFormat="1" applyFont="1" applyFill="1" applyBorder="1" applyAlignment="1">
      <alignment vertical="top"/>
    </xf>
    <xf numFmtId="166" fontId="7" fillId="0" borderId="7" xfId="1" applyNumberFormat="1" applyFont="1" applyBorder="1" applyAlignment="1">
      <alignment vertical="top"/>
    </xf>
    <xf numFmtId="166" fontId="7" fillId="0" borderId="6" xfId="1" applyNumberFormat="1" applyFont="1" applyBorder="1" applyAlignment="1">
      <alignment vertical="top"/>
    </xf>
    <xf numFmtId="167" fontId="7" fillId="0" borderId="13" xfId="0" applyNumberFormat="1" applyFont="1" applyBorder="1" applyAlignment="1">
      <alignment horizontal="right" vertical="top"/>
    </xf>
    <xf numFmtId="167" fontId="7" fillId="0" borderId="5" xfId="0" applyNumberFormat="1" applyFont="1" applyBorder="1" applyAlignment="1">
      <alignment vertical="top"/>
    </xf>
    <xf numFmtId="167" fontId="7" fillId="0" borderId="0" xfId="0" applyNumberFormat="1" applyFont="1" applyAlignment="1">
      <alignment vertical="top"/>
    </xf>
    <xf numFmtId="167" fontId="7" fillId="0" borderId="2" xfId="0" applyNumberFormat="1" applyFont="1" applyBorder="1" applyAlignment="1">
      <alignment vertical="top"/>
    </xf>
    <xf numFmtId="167" fontId="7" fillId="0" borderId="21" xfId="0" applyNumberFormat="1" applyFont="1" applyBorder="1" applyAlignment="1">
      <alignment vertical="top"/>
    </xf>
    <xf numFmtId="167" fontId="7" fillId="0" borderId="13" xfId="0" applyNumberFormat="1" applyFont="1" applyBorder="1" applyAlignment="1">
      <alignment vertical="top"/>
    </xf>
    <xf numFmtId="167" fontId="7" fillId="0" borderId="14" xfId="0" applyNumberFormat="1" applyFont="1" applyBorder="1" applyAlignment="1">
      <alignment vertical="top"/>
    </xf>
    <xf numFmtId="167" fontId="7" fillId="0" borderId="9" xfId="0" applyNumberFormat="1" applyFont="1" applyBorder="1" applyAlignment="1">
      <alignment vertical="top"/>
    </xf>
    <xf numFmtId="0" fontId="7" fillId="0" borderId="5" xfId="0" applyFont="1" applyBorder="1" applyAlignment="1">
      <alignment horizontal="left" vertical="top"/>
    </xf>
    <xf numFmtId="9" fontId="7" fillId="0" borderId="9" xfId="2" applyFont="1" applyBorder="1" applyAlignment="1">
      <alignment horizontal="left" vertical="top"/>
    </xf>
    <xf numFmtId="167" fontId="7" fillId="0" borderId="5" xfId="0" applyNumberFormat="1" applyFont="1" applyBorder="1" applyAlignment="1">
      <alignment horizontal="left" vertical="top"/>
    </xf>
    <xf numFmtId="167" fontId="7" fillId="0" borderId="21" xfId="0" applyNumberFormat="1" applyFont="1" applyBorder="1" applyAlignment="1">
      <alignment horizontal="left" vertical="top"/>
    </xf>
    <xf numFmtId="166" fontId="0" fillId="0" borderId="2" xfId="1" applyNumberFormat="1" applyFont="1" applyBorder="1"/>
    <xf numFmtId="0" fontId="0" fillId="0" borderId="22" xfId="0" applyBorder="1"/>
    <xf numFmtId="166" fontId="4" fillId="0" borderId="23" xfId="0" applyNumberFormat="1" applyFont="1" applyBorder="1"/>
    <xf numFmtId="166" fontId="4" fillId="0" borderId="19" xfId="0" applyNumberFormat="1" applyFont="1" applyBorder="1"/>
    <xf numFmtId="0" fontId="0" fillId="0" borderId="20" xfId="0" applyBorder="1" applyAlignment="1">
      <alignment horizontal="left"/>
    </xf>
    <xf numFmtId="166" fontId="0" fillId="0" borderId="21" xfId="1" applyNumberFormat="1" applyFont="1" applyBorder="1"/>
    <xf numFmtId="0" fontId="0" fillId="0" borderId="24" xfId="0" applyBorder="1" applyAlignment="1">
      <alignment horizontal="left"/>
    </xf>
    <xf numFmtId="166" fontId="0" fillId="0" borderId="3" xfId="1" applyNumberFormat="1" applyFont="1" applyBorder="1"/>
    <xf numFmtId="166" fontId="0" fillId="0" borderId="25" xfId="1" applyNumberFormat="1" applyFont="1" applyBorder="1"/>
    <xf numFmtId="1" fontId="6" fillId="0" borderId="15" xfId="0" applyNumberFormat="1" applyFont="1" applyBorder="1" applyAlignment="1">
      <alignment vertical="top"/>
    </xf>
    <xf numFmtId="0" fontId="6" fillId="0" borderId="16" xfId="0" applyFont="1" applyBorder="1" applyAlignment="1">
      <alignment vertical="top"/>
    </xf>
    <xf numFmtId="0" fontId="4" fillId="0" borderId="17" xfId="0" applyFont="1" applyBorder="1"/>
    <xf numFmtId="166" fontId="7" fillId="0" borderId="5" xfId="0" applyNumberFormat="1" applyFont="1" applyBorder="1" applyAlignment="1">
      <alignment horizontal="left" vertical="top" indent="2"/>
    </xf>
    <xf numFmtId="166" fontId="7" fillId="0" borderId="14" xfId="0" applyNumberFormat="1" applyFont="1" applyBorder="1" applyAlignment="1">
      <alignment horizontal="left" vertical="top" indent="2"/>
    </xf>
    <xf numFmtId="166" fontId="7" fillId="0" borderId="5" xfId="0" applyNumberFormat="1" applyFont="1" applyBorder="1" applyAlignment="1">
      <alignment vertical="top"/>
    </xf>
    <xf numFmtId="0" fontId="6" fillId="0" borderId="0" xfId="0" applyFont="1" applyAlignment="1">
      <alignment vertical="top" wrapText="1"/>
    </xf>
    <xf numFmtId="166" fontId="0" fillId="0" borderId="0" xfId="0" applyNumberFormat="1"/>
    <xf numFmtId="43" fontId="7" fillId="0" borderId="0" xfId="0" applyNumberFormat="1" applyFont="1" applyAlignment="1">
      <alignment vertical="top"/>
    </xf>
    <xf numFmtId="14" fontId="7" fillId="0" borderId="11" xfId="0" applyNumberFormat="1" applyFont="1" applyBorder="1" applyAlignment="1">
      <alignment vertical="top"/>
    </xf>
    <xf numFmtId="166" fontId="7" fillId="0" borderId="26" xfId="1" applyNumberFormat="1" applyFont="1" applyBorder="1" applyAlignment="1">
      <alignment vertical="top"/>
    </xf>
    <xf numFmtId="41" fontId="7" fillId="0" borderId="0" xfId="3" applyFont="1" applyAlignment="1">
      <alignment vertical="top"/>
    </xf>
    <xf numFmtId="0" fontId="7" fillId="0" borderId="29" xfId="1" applyNumberFormat="1" applyFont="1" applyBorder="1" applyAlignment="1">
      <alignment horizontal="right" vertical="top"/>
    </xf>
    <xf numFmtId="14" fontId="7" fillId="0" borderId="29" xfId="0" applyNumberFormat="1" applyFont="1" applyBorder="1" applyAlignment="1">
      <alignment vertical="top"/>
    </xf>
    <xf numFmtId="0" fontId="6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right" vertical="top"/>
    </xf>
    <xf numFmtId="166" fontId="7" fillId="0" borderId="11" xfId="1" applyNumberFormat="1" applyFont="1" applyBorder="1" applyAlignment="1">
      <alignment vertical="top"/>
    </xf>
    <xf numFmtId="166" fontId="7" fillId="0" borderId="1" xfId="1" applyNumberFormat="1" applyFont="1" applyBorder="1" applyAlignment="1">
      <alignment vertical="top"/>
    </xf>
    <xf numFmtId="0" fontId="5" fillId="0" borderId="1" xfId="0" applyFont="1" applyBorder="1" applyAlignment="1">
      <alignment horizontal="right" vertical="top"/>
    </xf>
    <xf numFmtId="0" fontId="5" fillId="0" borderId="4" xfId="0" applyFont="1" applyBorder="1" applyAlignment="1">
      <alignment horizontal="right" vertical="top"/>
    </xf>
    <xf numFmtId="0" fontId="5" fillId="0" borderId="5" xfId="0" applyFont="1" applyBorder="1" applyAlignment="1">
      <alignment horizontal="right" vertical="top"/>
    </xf>
    <xf numFmtId="1" fontId="7" fillId="0" borderId="35" xfId="0" applyNumberFormat="1" applyFont="1" applyBorder="1" applyAlignment="1">
      <alignment horizontal="left" vertical="top"/>
    </xf>
    <xf numFmtId="1" fontId="7" fillId="0" borderId="36" xfId="0" applyNumberFormat="1" applyFont="1" applyBorder="1" applyAlignment="1">
      <alignment horizontal="right" vertical="top"/>
    </xf>
    <xf numFmtId="1" fontId="7" fillId="0" borderId="36" xfId="0" applyNumberFormat="1" applyFont="1" applyBorder="1" applyAlignment="1">
      <alignment vertical="top"/>
    </xf>
    <xf numFmtId="1" fontId="7" fillId="0" borderId="37" xfId="0" applyNumberFormat="1" applyFont="1" applyBorder="1" applyAlignment="1">
      <alignment vertical="top"/>
    </xf>
    <xf numFmtId="14" fontId="7" fillId="0" borderId="12" xfId="0" applyNumberFormat="1" applyFont="1" applyBorder="1" applyAlignment="1">
      <alignment vertical="top"/>
    </xf>
    <xf numFmtId="164" fontId="7" fillId="0" borderId="10" xfId="1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0" borderId="10" xfId="1" applyNumberFormat="1" applyFont="1" applyBorder="1" applyAlignment="1">
      <alignment horizontal="right" vertical="top"/>
    </xf>
    <xf numFmtId="0" fontId="5" fillId="0" borderId="29" xfId="0" applyFont="1" applyBorder="1" applyAlignment="1">
      <alignment horizontal="right" vertical="top"/>
    </xf>
    <xf numFmtId="0" fontId="5" fillId="0" borderId="21" xfId="0" applyFont="1" applyBorder="1" applyAlignment="1">
      <alignment horizontal="right" vertical="top"/>
    </xf>
    <xf numFmtId="0" fontId="6" fillId="0" borderId="2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5" fillId="0" borderId="20" xfId="0" applyFont="1" applyBorder="1" applyAlignment="1">
      <alignment horizontal="right" vertical="top"/>
    </xf>
    <xf numFmtId="166" fontId="7" fillId="0" borderId="11" xfId="0" applyNumberFormat="1" applyFont="1" applyBorder="1" applyAlignment="1">
      <alignment vertical="top"/>
    </xf>
    <xf numFmtId="0" fontId="7" fillId="0" borderId="29" xfId="0" applyFont="1" applyBorder="1" applyAlignment="1">
      <alignment vertical="top"/>
    </xf>
    <xf numFmtId="166" fontId="7" fillId="2" borderId="10" xfId="1" applyNumberFormat="1" applyFont="1" applyFill="1" applyBorder="1" applyAlignment="1">
      <alignment vertical="top"/>
    </xf>
    <xf numFmtId="0" fontId="7" fillId="0" borderId="37" xfId="0" applyFont="1" applyBorder="1" applyAlignment="1">
      <alignment vertical="top"/>
    </xf>
    <xf numFmtId="164" fontId="7" fillId="0" borderId="38" xfId="1" applyFont="1" applyBorder="1" applyAlignment="1">
      <alignment vertical="top" wrapText="1"/>
    </xf>
    <xf numFmtId="164" fontId="7" fillId="0" borderId="26" xfId="1" applyFont="1" applyBorder="1" applyAlignment="1">
      <alignment vertical="top" wrapText="1"/>
    </xf>
    <xf numFmtId="164" fontId="7" fillId="0" borderId="26" xfId="1" applyFont="1" applyBorder="1" applyAlignment="1">
      <alignment horizontal="left" wrapText="1"/>
    </xf>
    <xf numFmtId="0" fontId="7" fillId="0" borderId="26" xfId="0" applyFont="1" applyBorder="1" applyAlignment="1">
      <alignment horizontal="left" wrapText="1"/>
    </xf>
    <xf numFmtId="0" fontId="7" fillId="0" borderId="28" xfId="0" applyFont="1" applyBorder="1" applyAlignment="1">
      <alignment horizontal="left" wrapText="1"/>
    </xf>
    <xf numFmtId="164" fontId="7" fillId="0" borderId="36" xfId="1" applyFont="1" applyBorder="1" applyAlignment="1">
      <alignment vertical="top"/>
    </xf>
    <xf numFmtId="0" fontId="7" fillId="0" borderId="36" xfId="0" applyFont="1" applyBorder="1" applyAlignment="1">
      <alignment vertical="top"/>
    </xf>
    <xf numFmtId="1" fontId="7" fillId="0" borderId="34" xfId="0" applyNumberFormat="1" applyFont="1" applyBorder="1" applyAlignment="1">
      <alignment vertical="top"/>
    </xf>
    <xf numFmtId="166" fontId="7" fillId="0" borderId="20" xfId="1" applyNumberFormat="1" applyFont="1" applyBorder="1" applyAlignment="1">
      <alignment vertical="top"/>
    </xf>
    <xf numFmtId="166" fontId="7" fillId="2" borderId="30" xfId="1" applyNumberFormat="1" applyFont="1" applyFill="1" applyBorder="1" applyAlignment="1">
      <alignment vertical="top"/>
    </xf>
    <xf numFmtId="166" fontId="7" fillId="0" borderId="21" xfId="1" applyNumberFormat="1" applyFont="1" applyBorder="1" applyAlignment="1">
      <alignment vertical="top"/>
    </xf>
    <xf numFmtId="166" fontId="7" fillId="0" borderId="28" xfId="1" applyNumberFormat="1" applyFont="1" applyBorder="1" applyAlignment="1">
      <alignment vertical="top"/>
    </xf>
    <xf numFmtId="164" fontId="7" fillId="0" borderId="20" xfId="1" applyFont="1" applyBorder="1" applyAlignment="1">
      <alignment vertical="top"/>
    </xf>
    <xf numFmtId="164" fontId="7" fillId="0" borderId="21" xfId="1" applyFont="1" applyBorder="1" applyAlignment="1">
      <alignment vertical="top"/>
    </xf>
    <xf numFmtId="164" fontId="7" fillId="0" borderId="29" xfId="1" applyFont="1" applyBorder="1" applyAlignment="1">
      <alignment vertical="top"/>
    </xf>
    <xf numFmtId="164" fontId="7" fillId="0" borderId="29" xfId="1" applyFont="1" applyBorder="1" applyAlignment="1">
      <alignment vertical="top" wrapText="1"/>
    </xf>
    <xf numFmtId="0" fontId="7" fillId="0" borderId="27" xfId="0" applyFont="1" applyBorder="1" applyAlignment="1">
      <alignment horizontal="left" wrapText="1"/>
    </xf>
    <xf numFmtId="166" fontId="7" fillId="0" borderId="40" xfId="0" applyNumberFormat="1" applyFont="1" applyBorder="1" applyAlignment="1">
      <alignment vertical="top"/>
    </xf>
    <xf numFmtId="9" fontId="7" fillId="0" borderId="39" xfId="2" applyFont="1" applyBorder="1" applyAlignment="1">
      <alignment horizontal="left" vertical="top"/>
    </xf>
    <xf numFmtId="9" fontId="7" fillId="0" borderId="40" xfId="2" applyFont="1" applyBorder="1" applyAlignment="1">
      <alignment horizontal="left" vertical="top"/>
    </xf>
    <xf numFmtId="167" fontId="7" fillId="0" borderId="39" xfId="0" applyNumberFormat="1" applyFont="1" applyBorder="1" applyAlignment="1">
      <alignment horizontal="left" vertical="top"/>
    </xf>
    <xf numFmtId="167" fontId="7" fillId="0" borderId="41" xfId="0" applyNumberFormat="1" applyFont="1" applyBorder="1" applyAlignment="1">
      <alignment horizontal="left" vertical="top"/>
    </xf>
    <xf numFmtId="166" fontId="7" fillId="0" borderId="12" xfId="1" applyNumberFormat="1" applyFont="1" applyFill="1" applyBorder="1" applyAlignment="1">
      <alignment vertical="top"/>
    </xf>
    <xf numFmtId="166" fontId="7" fillId="0" borderId="12" xfId="0" applyNumberFormat="1" applyFont="1" applyBorder="1" applyAlignment="1">
      <alignment vertical="top"/>
    </xf>
    <xf numFmtId="166" fontId="7" fillId="0" borderId="11" xfId="1" applyNumberFormat="1" applyFont="1" applyFill="1" applyBorder="1" applyAlignment="1">
      <alignment vertical="top"/>
    </xf>
    <xf numFmtId="164" fontId="7" fillId="0" borderId="11" xfId="1" applyFont="1" applyFill="1" applyBorder="1" applyAlignment="1">
      <alignment vertical="top"/>
    </xf>
    <xf numFmtId="41" fontId="7" fillId="0" borderId="11" xfId="3" applyFont="1" applyFill="1" applyBorder="1" applyAlignment="1">
      <alignment vertical="top"/>
    </xf>
    <xf numFmtId="164" fontId="7" fillId="0" borderId="11" xfId="0" applyNumberFormat="1" applyFont="1" applyBorder="1" applyAlignment="1">
      <alignment vertical="top"/>
    </xf>
    <xf numFmtId="166" fontId="7" fillId="0" borderId="29" xfId="1" applyNumberFormat="1" applyFont="1" applyFill="1" applyBorder="1" applyAlignment="1">
      <alignment vertical="top"/>
    </xf>
    <xf numFmtId="41" fontId="7" fillId="0" borderId="29" xfId="3" applyFont="1" applyFill="1" applyBorder="1" applyAlignment="1">
      <alignment vertical="top"/>
    </xf>
    <xf numFmtId="41" fontId="7" fillId="0" borderId="29" xfId="0" applyNumberFormat="1" applyFont="1" applyBorder="1" applyAlignment="1">
      <alignment vertical="top"/>
    </xf>
    <xf numFmtId="166" fontId="7" fillId="0" borderId="29" xfId="0" applyNumberFormat="1" applyFont="1" applyBorder="1" applyAlignment="1">
      <alignment vertical="top"/>
    </xf>
    <xf numFmtId="41" fontId="7" fillId="0" borderId="12" xfId="3" applyFont="1" applyFill="1" applyBorder="1" applyAlignment="1">
      <alignment vertical="top"/>
    </xf>
    <xf numFmtId="0" fontId="7" fillId="0" borderId="12" xfId="1" applyNumberFormat="1" applyFont="1" applyBorder="1" applyAlignment="1">
      <alignment horizontal="right" vertical="top"/>
    </xf>
    <xf numFmtId="166" fontId="7" fillId="0" borderId="36" xfId="1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166" fontId="7" fillId="0" borderId="42" xfId="1" applyNumberFormat="1" applyFont="1" applyBorder="1" applyAlignment="1">
      <alignment vertical="top"/>
    </xf>
    <xf numFmtId="0" fontId="6" fillId="0" borderId="0" xfId="0" applyFont="1"/>
    <xf numFmtId="1" fontId="6" fillId="0" borderId="36" xfId="0" applyNumberFormat="1" applyFont="1" applyBorder="1" applyAlignment="1">
      <alignment vertical="top"/>
    </xf>
    <xf numFmtId="1" fontId="6" fillId="0" borderId="34" xfId="0" applyNumberFormat="1" applyFont="1" applyBorder="1" applyAlignment="1">
      <alignment vertical="top"/>
    </xf>
    <xf numFmtId="0" fontId="6" fillId="0" borderId="34" xfId="0" applyFont="1" applyBorder="1" applyAlignment="1">
      <alignment vertical="top"/>
    </xf>
    <xf numFmtId="166" fontId="6" fillId="0" borderId="29" xfId="0" applyNumberFormat="1" applyFont="1" applyBorder="1" applyAlignment="1">
      <alignment vertical="top"/>
    </xf>
    <xf numFmtId="166" fontId="6" fillId="0" borderId="12" xfId="0" applyNumberFormat="1" applyFont="1" applyBorder="1" applyAlignment="1">
      <alignment vertical="top"/>
    </xf>
    <xf numFmtId="166" fontId="7" fillId="0" borderId="37" xfId="1" applyNumberFormat="1" applyFont="1" applyBorder="1" applyAlignment="1">
      <alignment vertical="top"/>
    </xf>
    <xf numFmtId="164" fontId="7" fillId="0" borderId="35" xfId="1" applyFont="1" applyBorder="1" applyAlignment="1">
      <alignment vertical="top"/>
    </xf>
    <xf numFmtId="166" fontId="7" fillId="0" borderId="34" xfId="1" applyNumberFormat="1" applyFont="1" applyBorder="1" applyAlignment="1">
      <alignment vertical="top"/>
    </xf>
    <xf numFmtId="10" fontId="0" fillId="0" borderId="0" xfId="2" applyNumberFormat="1" applyFont="1"/>
    <xf numFmtId="0" fontId="7" fillId="0" borderId="22" xfId="0" applyFont="1" applyBorder="1" applyAlignment="1">
      <alignment vertical="top"/>
    </xf>
    <xf numFmtId="0" fontId="7" fillId="0" borderId="43" xfId="0" applyFont="1" applyBorder="1" applyAlignment="1">
      <alignment vertical="top"/>
    </xf>
    <xf numFmtId="166" fontId="7" fillId="0" borderId="43" xfId="1" applyNumberFormat="1" applyFont="1" applyFill="1" applyBorder="1" applyAlignment="1">
      <alignment vertical="top"/>
    </xf>
    <xf numFmtId="41" fontId="7" fillId="0" borderId="43" xfId="3" applyFont="1" applyFill="1" applyBorder="1" applyAlignment="1">
      <alignment vertical="top"/>
    </xf>
    <xf numFmtId="41" fontId="6" fillId="0" borderId="43" xfId="0" applyNumberFormat="1" applyFont="1" applyBorder="1" applyAlignment="1">
      <alignment vertical="top"/>
    </xf>
    <xf numFmtId="166" fontId="7" fillId="0" borderId="43" xfId="0" applyNumberFormat="1" applyFont="1" applyBorder="1" applyAlignment="1">
      <alignment vertical="top"/>
    </xf>
    <xf numFmtId="166" fontId="6" fillId="0" borderId="43" xfId="0" applyNumberFormat="1" applyFont="1" applyBorder="1" applyAlignment="1">
      <alignment vertical="top"/>
    </xf>
    <xf numFmtId="0" fontId="7" fillId="0" borderId="43" xfId="1" applyNumberFormat="1" applyFont="1" applyBorder="1" applyAlignment="1">
      <alignment horizontal="right" vertical="top"/>
    </xf>
    <xf numFmtId="14" fontId="7" fillId="0" borderId="43" xfId="0" applyNumberFormat="1" applyFont="1" applyBorder="1" applyAlignment="1">
      <alignment vertical="top"/>
    </xf>
    <xf numFmtId="0" fontId="7" fillId="0" borderId="19" xfId="0" applyFont="1" applyBorder="1" applyAlignment="1">
      <alignment horizontal="left" wrapText="1"/>
    </xf>
    <xf numFmtId="1" fontId="7" fillId="0" borderId="43" xfId="0" applyNumberFormat="1" applyFont="1" applyBorder="1" applyAlignment="1">
      <alignment vertical="top"/>
    </xf>
    <xf numFmtId="41" fontId="7" fillId="0" borderId="43" xfId="3" applyFont="1" applyBorder="1" applyAlignment="1">
      <alignment vertical="top"/>
    </xf>
    <xf numFmtId="41" fontId="7" fillId="0" borderId="43" xfId="0" applyNumberFormat="1" applyFont="1" applyBorder="1" applyAlignment="1">
      <alignment vertical="top"/>
    </xf>
    <xf numFmtId="41" fontId="7" fillId="0" borderId="43" xfId="3" applyFont="1" applyBorder="1" applyAlignment="1">
      <alignment horizontal="right" vertical="top"/>
    </xf>
    <xf numFmtId="41" fontId="6" fillId="0" borderId="43" xfId="3" applyFont="1" applyFill="1" applyBorder="1" applyAlignment="1">
      <alignment vertical="top"/>
    </xf>
    <xf numFmtId="0" fontId="7" fillId="0" borderId="43" xfId="0" applyFont="1" applyBorder="1"/>
    <xf numFmtId="0" fontId="14" fillId="0" borderId="43" xfId="0" applyFont="1" applyBorder="1" applyAlignment="1">
      <alignment horizontal="right" vertical="top"/>
    </xf>
    <xf numFmtId="166" fontId="7" fillId="0" borderId="43" xfId="1" applyNumberFormat="1" applyFont="1" applyBorder="1" applyAlignment="1">
      <alignment vertical="top"/>
    </xf>
    <xf numFmtId="164" fontId="7" fillId="0" borderId="43" xfId="1" applyFont="1" applyFill="1" applyBorder="1" applyAlignment="1">
      <alignment vertical="top"/>
    </xf>
    <xf numFmtId="164" fontId="7" fillId="0" borderId="43" xfId="1" applyFont="1" applyBorder="1" applyAlignment="1">
      <alignment vertical="top"/>
    </xf>
    <xf numFmtId="14" fontId="7" fillId="0" borderId="43" xfId="1" applyNumberFormat="1" applyFont="1" applyBorder="1" applyAlignment="1">
      <alignment vertical="top"/>
    </xf>
    <xf numFmtId="164" fontId="7" fillId="0" borderId="43" xfId="1" applyFont="1" applyBorder="1" applyAlignment="1">
      <alignment vertical="top" wrapText="1"/>
    </xf>
    <xf numFmtId="164" fontId="7" fillId="0" borderId="43" xfId="0" applyNumberFormat="1" applyFont="1" applyBorder="1" applyAlignment="1">
      <alignment vertical="top"/>
    </xf>
    <xf numFmtId="164" fontId="7" fillId="0" borderId="43" xfId="1" applyFont="1" applyBorder="1" applyAlignment="1">
      <alignment horizontal="left" wrapText="1"/>
    </xf>
    <xf numFmtId="0" fontId="7" fillId="0" borderId="43" xfId="0" applyFont="1" applyBorder="1" applyAlignment="1">
      <alignment horizontal="left" wrapText="1"/>
    </xf>
    <xf numFmtId="0" fontId="6" fillId="0" borderId="43" xfId="0" applyFont="1" applyBorder="1" applyAlignment="1">
      <alignment vertical="top"/>
    </xf>
    <xf numFmtId="14" fontId="7" fillId="0" borderId="43" xfId="3" applyNumberFormat="1" applyFont="1" applyBorder="1" applyAlignment="1">
      <alignment vertical="top"/>
    </xf>
    <xf numFmtId="41" fontId="7" fillId="0" borderId="43" xfId="3" applyFont="1" applyBorder="1" applyAlignment="1">
      <alignment horizontal="left" wrapText="1"/>
    </xf>
    <xf numFmtId="14" fontId="14" fillId="0" borderId="43" xfId="0" applyNumberFormat="1" applyFont="1" applyBorder="1" applyAlignment="1">
      <alignment vertical="top"/>
    </xf>
    <xf numFmtId="0" fontId="14" fillId="0" borderId="43" xfId="0" applyFont="1" applyBorder="1" applyAlignment="1">
      <alignment horizontal="left" wrapText="1"/>
    </xf>
    <xf numFmtId="1" fontId="14" fillId="0" borderId="44" xfId="0" applyNumberFormat="1" applyFont="1" applyBorder="1" applyAlignment="1">
      <alignment vertical="top"/>
    </xf>
    <xf numFmtId="0" fontId="14" fillId="0" borderId="44" xfId="0" applyFont="1" applyBorder="1" applyAlignment="1">
      <alignment vertical="top"/>
    </xf>
    <xf numFmtId="41" fontId="7" fillId="0" borderId="44" xfId="3" applyFont="1" applyBorder="1" applyAlignment="1">
      <alignment vertical="top"/>
    </xf>
    <xf numFmtId="41" fontId="15" fillId="0" borderId="44" xfId="0" applyNumberFormat="1" applyFont="1" applyBorder="1" applyAlignment="1">
      <alignment vertical="top"/>
    </xf>
    <xf numFmtId="41" fontId="6" fillId="0" borderId="44" xfId="0" applyNumberFormat="1" applyFont="1" applyBorder="1" applyAlignment="1">
      <alignment vertical="top"/>
    </xf>
    <xf numFmtId="41" fontId="14" fillId="0" borderId="44" xfId="0" applyNumberFormat="1" applyFont="1" applyBorder="1" applyAlignment="1">
      <alignment vertical="top"/>
    </xf>
    <xf numFmtId="0" fontId="14" fillId="0" borderId="44" xfId="0" applyFont="1" applyBorder="1" applyAlignment="1">
      <alignment horizontal="right" vertical="top"/>
    </xf>
    <xf numFmtId="14" fontId="14" fillId="0" borderId="44" xfId="0" applyNumberFormat="1" applyFont="1" applyBorder="1" applyAlignment="1">
      <alignment vertical="top"/>
    </xf>
    <xf numFmtId="0" fontId="14" fillId="0" borderId="44" xfId="0" applyFont="1" applyBorder="1" applyAlignment="1">
      <alignment horizontal="left" wrapText="1"/>
    </xf>
    <xf numFmtId="0" fontId="7" fillId="0" borderId="44" xfId="0" applyFont="1" applyBorder="1" applyAlignment="1">
      <alignment vertical="top"/>
    </xf>
    <xf numFmtId="166" fontId="7" fillId="0" borderId="44" xfId="1" applyNumberFormat="1" applyFont="1" applyFill="1" applyBorder="1" applyAlignment="1">
      <alignment vertical="top"/>
    </xf>
    <xf numFmtId="41" fontId="7" fillId="0" borderId="44" xfId="3" applyFont="1" applyFill="1" applyBorder="1" applyAlignment="1">
      <alignment vertical="top"/>
    </xf>
    <xf numFmtId="166" fontId="7" fillId="0" borderId="44" xfId="0" applyNumberFormat="1" applyFont="1" applyBorder="1" applyAlignment="1">
      <alignment vertical="top"/>
    </xf>
    <xf numFmtId="166" fontId="6" fillId="0" borderId="44" xfId="0" applyNumberFormat="1" applyFont="1" applyBorder="1" applyAlignment="1">
      <alignment vertical="top"/>
    </xf>
    <xf numFmtId="166" fontId="7" fillId="0" borderId="44" xfId="1" applyNumberFormat="1" applyFont="1" applyBorder="1" applyAlignment="1">
      <alignment vertical="top"/>
    </xf>
    <xf numFmtId="14" fontId="7" fillId="0" borderId="44" xfId="0" applyNumberFormat="1" applyFont="1" applyBorder="1" applyAlignment="1">
      <alignment vertical="top"/>
    </xf>
    <xf numFmtId="0" fontId="7" fillId="0" borderId="44" xfId="0" applyFont="1" applyBorder="1" applyAlignment="1">
      <alignment horizontal="left" wrapText="1"/>
    </xf>
    <xf numFmtId="1" fontId="14" fillId="0" borderId="0" xfId="0" applyNumberFormat="1" applyFont="1" applyAlignment="1">
      <alignment vertical="top"/>
    </xf>
    <xf numFmtId="0" fontId="14" fillId="0" borderId="43" xfId="0" applyFont="1" applyBorder="1" applyAlignment="1">
      <alignment vertical="top"/>
    </xf>
    <xf numFmtId="41" fontId="15" fillId="0" borderId="43" xfId="0" applyNumberFormat="1" applyFont="1" applyBorder="1" applyAlignment="1">
      <alignment vertical="top"/>
    </xf>
    <xf numFmtId="41" fontId="14" fillId="0" borderId="43" xfId="0" applyNumberFormat="1" applyFont="1" applyBorder="1" applyAlignment="1">
      <alignment vertical="top"/>
    </xf>
    <xf numFmtId="41" fontId="7" fillId="0" borderId="12" xfId="0" applyNumberFormat="1" applyFont="1" applyBorder="1" applyAlignment="1">
      <alignment vertical="top"/>
    </xf>
    <xf numFmtId="41" fontId="7" fillId="0" borderId="44" xfId="0" applyNumberFormat="1" applyFont="1" applyBorder="1" applyAlignment="1">
      <alignment vertical="top"/>
    </xf>
    <xf numFmtId="41" fontId="6" fillId="0" borderId="43" xfId="3" applyFont="1" applyBorder="1" applyAlignment="1">
      <alignment vertical="top"/>
    </xf>
    <xf numFmtId="166" fontId="6" fillId="3" borderId="13" xfId="0" applyNumberFormat="1" applyFont="1" applyFill="1" applyBorder="1" applyAlignment="1">
      <alignment horizontal="left" vertical="top" indent="2"/>
    </xf>
    <xf numFmtId="166" fontId="6" fillId="3" borderId="9" xfId="0" applyNumberFormat="1" applyFont="1" applyFill="1" applyBorder="1" applyAlignment="1">
      <alignment horizontal="left" vertical="top" indent="2"/>
    </xf>
    <xf numFmtId="166" fontId="6" fillId="3" borderId="39" xfId="0" applyNumberFormat="1" applyFont="1" applyFill="1" applyBorder="1" applyAlignment="1">
      <alignment vertical="top"/>
    </xf>
    <xf numFmtId="166" fontId="6" fillId="3" borderId="9" xfId="0" applyNumberFormat="1" applyFont="1" applyFill="1" applyBorder="1" applyAlignment="1">
      <alignment vertical="top"/>
    </xf>
    <xf numFmtId="167" fontId="9" fillId="4" borderId="23" xfId="0" applyNumberFormat="1" applyFont="1" applyFill="1" applyBorder="1" applyAlignment="1">
      <alignment horizontal="center" vertical="top"/>
    </xf>
    <xf numFmtId="167" fontId="9" fillId="4" borderId="19" xfId="0" applyNumberFormat="1" applyFont="1" applyFill="1" applyBorder="1" applyAlignment="1">
      <alignment horizontal="center" vertical="top"/>
    </xf>
    <xf numFmtId="0" fontId="6" fillId="0" borderId="4" xfId="0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31" xfId="0" applyFont="1" applyBorder="1" applyAlignment="1">
      <alignment horizontal="left" vertical="top"/>
    </xf>
    <xf numFmtId="0" fontId="6" fillId="0" borderId="32" xfId="0" applyFont="1" applyBorder="1" applyAlignment="1">
      <alignment horizontal="left" vertical="top"/>
    </xf>
    <xf numFmtId="0" fontId="6" fillId="0" borderId="10" xfId="1" applyNumberFormat="1" applyFont="1" applyBorder="1" applyAlignment="1">
      <alignment horizontal="left" vertical="top" wrapText="1"/>
    </xf>
    <xf numFmtId="0" fontId="6" fillId="0" borderId="11" xfId="1" applyNumberFormat="1" applyFont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/>
    </xf>
    <xf numFmtId="0" fontId="9" fillId="0" borderId="16" xfId="0" applyFont="1" applyBorder="1" applyAlignment="1">
      <alignment horizontal="left" vertical="top"/>
    </xf>
    <xf numFmtId="0" fontId="9" fillId="0" borderId="17" xfId="0" applyFont="1" applyBorder="1" applyAlignment="1">
      <alignment horizontal="left" vertical="top"/>
    </xf>
    <xf numFmtId="1" fontId="7" fillId="0" borderId="36" xfId="1" applyNumberFormat="1" applyFont="1" applyBorder="1" applyAlignment="1">
      <alignment horizontal="center" vertical="top"/>
    </xf>
    <xf numFmtId="1" fontId="7" fillId="0" borderId="34" xfId="1" applyNumberFormat="1" applyFont="1" applyBorder="1" applyAlignment="1">
      <alignment horizontal="center" vertical="top"/>
    </xf>
    <xf numFmtId="1" fontId="7" fillId="0" borderId="35" xfId="1" applyNumberFormat="1" applyFont="1" applyBorder="1" applyAlignment="1">
      <alignment horizontal="center" vertical="top"/>
    </xf>
    <xf numFmtId="0" fontId="6" fillId="0" borderId="33" xfId="0" applyFont="1" applyBorder="1" applyAlignment="1">
      <alignment horizontal="left" vertical="top"/>
    </xf>
    <xf numFmtId="0" fontId="6" fillId="0" borderId="35" xfId="0" applyFont="1" applyBorder="1" applyAlignment="1">
      <alignment horizontal="left" vertical="top" wrapText="1"/>
    </xf>
    <xf numFmtId="0" fontId="6" fillId="0" borderId="34" xfId="0" applyFont="1" applyBorder="1" applyAlignment="1">
      <alignment horizontal="left" vertical="top" wrapText="1"/>
    </xf>
    <xf numFmtId="0" fontId="6" fillId="0" borderId="29" xfId="0" applyFont="1" applyBorder="1" applyAlignment="1">
      <alignment horizontal="left" vertical="top" wrapText="1"/>
    </xf>
    <xf numFmtId="0" fontId="6" fillId="5" borderId="4" xfId="0" applyFont="1" applyFill="1" applyBorder="1" applyAlignment="1">
      <alignment horizontal="left" vertical="top"/>
    </xf>
    <xf numFmtId="0" fontId="6" fillId="5" borderId="5" xfId="0" applyFont="1" applyFill="1" applyBorder="1" applyAlignment="1">
      <alignment horizontal="left" vertical="top"/>
    </xf>
    <xf numFmtId="0" fontId="6" fillId="0" borderId="29" xfId="1" applyNumberFormat="1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167" fontId="12" fillId="4" borderId="18" xfId="0" applyNumberFormat="1" applyFont="1" applyFill="1" applyBorder="1" applyAlignment="1">
      <alignment horizontal="left" vertical="top"/>
    </xf>
    <xf numFmtId="167" fontId="12" fillId="4" borderId="19" xfId="0" applyNumberFormat="1" applyFont="1" applyFill="1" applyBorder="1" applyAlignment="1">
      <alignment horizontal="left" vertical="top"/>
    </xf>
    <xf numFmtId="14" fontId="7" fillId="0" borderId="22" xfId="0" applyNumberFormat="1" applyFont="1" applyBorder="1" applyAlignment="1">
      <alignment vertical="top"/>
    </xf>
  </cellXfs>
  <cellStyles count="4">
    <cellStyle name="Comma" xfId="1" builtinId="3"/>
    <cellStyle name="Comma [0]" xfId="3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déye Daba KAMA" id="{63C20BFD-DF60-4911-980C-232EDEBEDAC2}" userId="S::ndeyedaba.kama@senelec.sn::e9a75608-62f4-4ebc-bd1a-15bee7e82aff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9" dT="2025-12-10T16:07:49.29" personId="{63C20BFD-DF60-4911-980C-232EDEBEDAC2}" id="{7E610961-8404-473F-B1A8-AAF634151ABC}">
    <text>65%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6"/>
  <sheetViews>
    <sheetView tabSelected="1" workbookViewId="0">
      <selection activeCell="F15" sqref="F15"/>
    </sheetView>
  </sheetViews>
  <sheetFormatPr baseColWidth="10" defaultRowHeight="15" x14ac:dyDescent="0.2"/>
  <cols>
    <col min="1" max="1" width="2.83203125" customWidth="1"/>
    <col min="2" max="2" width="18.83203125" bestFit="1" customWidth="1"/>
    <col min="3" max="3" width="41" customWidth="1"/>
    <col min="4" max="4" width="31.83203125" customWidth="1"/>
  </cols>
  <sheetData>
    <row r="2" spans="2:10" ht="16" x14ac:dyDescent="0.2">
      <c r="B2" s="10" t="s">
        <v>22</v>
      </c>
      <c r="C2" s="5"/>
      <c r="D2" s="5"/>
      <c r="E2" s="5"/>
      <c r="F2" s="5"/>
      <c r="G2" s="5"/>
      <c r="H2" s="5"/>
      <c r="I2" s="5"/>
      <c r="J2" s="5"/>
    </row>
    <row r="3" spans="2:10" ht="16" x14ac:dyDescent="0.2">
      <c r="B3" s="5"/>
      <c r="C3" s="5"/>
      <c r="D3" s="5"/>
      <c r="E3" s="5"/>
      <c r="F3" s="5"/>
      <c r="G3" s="5"/>
      <c r="H3" s="5"/>
      <c r="I3" s="5"/>
      <c r="J3" s="5"/>
    </row>
    <row r="4" spans="2:10" ht="16" x14ac:dyDescent="0.2">
      <c r="B4" s="9" t="s">
        <v>10</v>
      </c>
      <c r="C4" s="13" t="s">
        <v>11</v>
      </c>
      <c r="D4" s="5"/>
      <c r="E4" s="5"/>
      <c r="F4" s="5"/>
      <c r="G4" s="5"/>
      <c r="H4" s="5"/>
      <c r="I4" s="5"/>
      <c r="J4" s="5"/>
    </row>
    <row r="5" spans="2:10" ht="16" x14ac:dyDescent="0.2">
      <c r="B5" s="9" t="s">
        <v>12</v>
      </c>
      <c r="C5" s="13" t="s">
        <v>14</v>
      </c>
      <c r="D5" s="5"/>
      <c r="E5" s="5"/>
      <c r="F5" s="5"/>
      <c r="G5" s="5"/>
      <c r="H5" s="5"/>
      <c r="I5" s="5"/>
      <c r="J5" s="5"/>
    </row>
    <row r="6" spans="2:10" ht="16" x14ac:dyDescent="0.2">
      <c r="B6" s="9" t="s">
        <v>0</v>
      </c>
      <c r="C6" s="13" t="s">
        <v>30</v>
      </c>
      <c r="D6" s="10"/>
      <c r="E6" s="10"/>
      <c r="F6" s="10"/>
      <c r="G6" s="10"/>
      <c r="H6" s="10"/>
      <c r="I6" s="10"/>
      <c r="J6" s="10"/>
    </row>
    <row r="7" spans="2:10" ht="16" x14ac:dyDescent="0.2">
      <c r="B7" s="9" t="s">
        <v>13</v>
      </c>
      <c r="C7" s="13">
        <v>612.70000000000005</v>
      </c>
      <c r="D7" s="1" t="s">
        <v>21</v>
      </c>
      <c r="E7" s="5"/>
      <c r="F7" s="5"/>
      <c r="G7" s="5"/>
      <c r="H7" s="5"/>
      <c r="I7" s="5"/>
      <c r="J7" s="5"/>
    </row>
    <row r="8" spans="2:10" ht="16" thickBot="1" x14ac:dyDescent="0.25"/>
    <row r="9" spans="2:10" ht="17" thickBot="1" x14ac:dyDescent="0.25">
      <c r="B9" s="51" t="s">
        <v>32</v>
      </c>
      <c r="C9" s="52" t="s">
        <v>28</v>
      </c>
      <c r="D9" s="53" t="s">
        <v>29</v>
      </c>
    </row>
    <row r="10" spans="2:10" x14ac:dyDescent="0.2">
      <c r="B10" s="48" t="s">
        <v>33</v>
      </c>
      <c r="C10" s="49">
        <f>'LOT1-BEST'!E48</f>
        <v>14932169933.615004</v>
      </c>
      <c r="D10" s="50">
        <f>'LOT1-BEST'!E49*RECAP!C7+'LOT1-BEST'!F50</f>
        <v>7887394845.6849985</v>
      </c>
      <c r="E10" s="136"/>
    </row>
    <row r="11" spans="2:10" ht="16" thickBot="1" x14ac:dyDescent="0.25">
      <c r="B11" s="46" t="s">
        <v>34</v>
      </c>
      <c r="C11" s="42">
        <f>'LOT2-BEST'!F51</f>
        <v>15630276806.695</v>
      </c>
      <c r="D11" s="47">
        <f>'LOT2-BEST'!F52*RECAP!C7+'LOT2-BEST'!G53</f>
        <v>9583030770.7050018</v>
      </c>
      <c r="E11" s="136"/>
    </row>
    <row r="12" spans="2:10" ht="16" thickBot="1" x14ac:dyDescent="0.25">
      <c r="B12" s="43" t="s">
        <v>31</v>
      </c>
      <c r="C12" s="44">
        <f>C10+C11</f>
        <v>30562446740.310005</v>
      </c>
      <c r="D12" s="45">
        <f>D10+D11</f>
        <v>17470425616.389999</v>
      </c>
    </row>
    <row r="14" spans="2:10" x14ac:dyDescent="0.2">
      <c r="F14" s="58"/>
    </row>
    <row r="15" spans="2:10" x14ac:dyDescent="0.2">
      <c r="F15" s="58"/>
    </row>
    <row r="16" spans="2:10" x14ac:dyDescent="0.2">
      <c r="F16" s="5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63"/>
  <sheetViews>
    <sheetView view="pageBreakPreview" topLeftCell="A36" zoomScale="108" zoomScaleNormal="83" zoomScaleSheetLayoutView="84" workbookViewId="0">
      <selection activeCell="C56" sqref="C56"/>
    </sheetView>
  </sheetViews>
  <sheetFormatPr baseColWidth="10" defaultColWidth="10.83203125" defaultRowHeight="16" x14ac:dyDescent="0.2"/>
  <cols>
    <col min="1" max="1" width="21.5" style="5" customWidth="1"/>
    <col min="2" max="2" width="26.1640625" style="5" customWidth="1"/>
    <col min="3" max="3" width="18.1640625" style="5" bestFit="1" customWidth="1"/>
    <col min="4" max="4" width="23.33203125" style="5" customWidth="1"/>
    <col min="5" max="5" width="28.33203125" style="5" customWidth="1"/>
    <col min="6" max="6" width="25.33203125" style="5" bestFit="1" customWidth="1"/>
    <col min="7" max="7" width="26.1640625" style="5" customWidth="1"/>
    <col min="8" max="8" width="22.1640625" style="5" bestFit="1" customWidth="1"/>
    <col min="9" max="9" width="15.6640625" style="5" customWidth="1"/>
    <col min="10" max="10" width="18.1640625" style="5" customWidth="1"/>
    <col min="11" max="11" width="17.33203125" style="5" bestFit="1" customWidth="1"/>
    <col min="12" max="12" width="27.83203125" style="6" bestFit="1" customWidth="1"/>
    <col min="13" max="13" width="15.1640625" style="5" customWidth="1"/>
    <col min="14" max="14" width="23.83203125" style="7" customWidth="1"/>
    <col min="15" max="16384" width="10.83203125" style="8"/>
  </cols>
  <sheetData>
    <row r="1" spans="1:14" x14ac:dyDescent="0.2">
      <c r="A1" s="10" t="s">
        <v>22</v>
      </c>
    </row>
    <row r="3" spans="1:14" x14ac:dyDescent="0.2">
      <c r="A3" s="9" t="s">
        <v>10</v>
      </c>
      <c r="B3" s="5" t="s">
        <v>11</v>
      </c>
    </row>
    <row r="4" spans="1:14" x14ac:dyDescent="0.2">
      <c r="A4" s="9" t="s">
        <v>12</v>
      </c>
      <c r="B4" s="5" t="s">
        <v>14</v>
      </c>
    </row>
    <row r="5" spans="1:14" x14ac:dyDescent="0.2">
      <c r="A5" s="9" t="s">
        <v>0</v>
      </c>
      <c r="B5" s="10" t="s">
        <v>15</v>
      </c>
      <c r="C5" s="10"/>
      <c r="D5" s="10"/>
      <c r="E5" s="10"/>
      <c r="F5" s="10"/>
      <c r="G5" s="10"/>
      <c r="H5" s="10"/>
      <c r="I5" s="10"/>
      <c r="J5" s="10"/>
      <c r="K5" s="10"/>
    </row>
    <row r="6" spans="1:14" x14ac:dyDescent="0.2">
      <c r="A6" s="9" t="s">
        <v>13</v>
      </c>
      <c r="B6" s="5">
        <v>612.70000000000005</v>
      </c>
      <c r="D6" s="10" t="s">
        <v>21</v>
      </c>
    </row>
    <row r="7" spans="1:14" x14ac:dyDescent="0.2">
      <c r="A7" s="9" t="s">
        <v>19</v>
      </c>
      <c r="B7" s="11">
        <v>22099799</v>
      </c>
      <c r="K7" s="62"/>
    </row>
    <row r="8" spans="1:14" x14ac:dyDescent="0.2">
      <c r="A8" s="9" t="s">
        <v>20</v>
      </c>
      <c r="B8" s="11">
        <v>9242852523</v>
      </c>
    </row>
    <row r="9" spans="1:14" x14ac:dyDescent="0.2">
      <c r="A9" s="9" t="s">
        <v>5</v>
      </c>
      <c r="B9" s="11">
        <f>B6*B7+B8</f>
        <v>22783399370.300003</v>
      </c>
    </row>
    <row r="10" spans="1:14" ht="17" thickBot="1" x14ac:dyDescent="0.25"/>
    <row r="11" spans="1:14" s="12" customFormat="1" ht="13.5" customHeight="1" x14ac:dyDescent="0.2">
      <c r="A11" s="197" t="s">
        <v>6</v>
      </c>
      <c r="B11" s="199"/>
      <c r="C11" s="197" t="s">
        <v>40</v>
      </c>
      <c r="D11" s="199"/>
      <c r="E11" s="219" t="s">
        <v>8</v>
      </c>
      <c r="F11" s="220"/>
      <c r="G11" s="197" t="s">
        <v>53</v>
      </c>
      <c r="H11" s="199"/>
      <c r="I11" s="197" t="s">
        <v>7</v>
      </c>
      <c r="J11" s="199"/>
      <c r="K11" s="65" t="s">
        <v>35</v>
      </c>
      <c r="L11" s="207" t="s">
        <v>2</v>
      </c>
      <c r="M11" s="216" t="s">
        <v>3</v>
      </c>
      <c r="N11" s="203" t="s">
        <v>4</v>
      </c>
    </row>
    <row r="12" spans="1:14" s="13" customFormat="1" ht="17" thickBot="1" x14ac:dyDescent="0.25">
      <c r="A12" s="85" t="s">
        <v>26</v>
      </c>
      <c r="B12" s="82" t="s">
        <v>27</v>
      </c>
      <c r="C12" s="85" t="s">
        <v>26</v>
      </c>
      <c r="D12" s="82" t="s">
        <v>27</v>
      </c>
      <c r="E12" s="85" t="s">
        <v>26</v>
      </c>
      <c r="F12" s="82" t="s">
        <v>27</v>
      </c>
      <c r="G12" s="85" t="s">
        <v>26</v>
      </c>
      <c r="H12" s="82" t="s">
        <v>27</v>
      </c>
      <c r="I12" s="85" t="s">
        <v>26</v>
      </c>
      <c r="J12" s="82" t="s">
        <v>27</v>
      </c>
      <c r="K12" s="81" t="s">
        <v>27</v>
      </c>
      <c r="L12" s="221"/>
      <c r="M12" s="217"/>
      <c r="N12" s="218"/>
    </row>
    <row r="13" spans="1:14" s="19" customFormat="1" ht="17" thickBot="1" x14ac:dyDescent="0.25">
      <c r="A13" s="88">
        <v>22099799</v>
      </c>
      <c r="B13" s="126"/>
      <c r="C13" s="77"/>
      <c r="D13" s="77"/>
      <c r="E13" s="77"/>
      <c r="F13" s="77"/>
      <c r="G13" s="77"/>
      <c r="H13" s="77"/>
      <c r="I13" s="77"/>
      <c r="J13" s="77"/>
      <c r="K13" s="134"/>
      <c r="L13" s="80"/>
      <c r="M13" s="77"/>
      <c r="N13" s="90"/>
    </row>
    <row r="14" spans="1:14" s="19" customFormat="1" x14ac:dyDescent="0.2">
      <c r="A14" s="124"/>
      <c r="B14" s="88">
        <v>9279017932</v>
      </c>
      <c r="C14" s="67"/>
      <c r="D14" s="67"/>
      <c r="E14" s="67"/>
      <c r="F14" s="67"/>
      <c r="G14" s="17"/>
      <c r="H14" s="17"/>
      <c r="I14" s="17"/>
      <c r="J14" s="17"/>
      <c r="K14" s="95"/>
      <c r="L14" s="16"/>
      <c r="M14" s="17"/>
      <c r="N14" s="91"/>
    </row>
    <row r="15" spans="1:14" s="19" customFormat="1" ht="51" x14ac:dyDescent="0.2">
      <c r="A15" s="95"/>
      <c r="B15" s="17"/>
      <c r="C15" s="114">
        <f>+A13*25%</f>
        <v>5524949.75</v>
      </c>
      <c r="D15" s="114"/>
      <c r="E15" s="114">
        <f>C15</f>
        <v>5524949.75</v>
      </c>
      <c r="F15" s="114"/>
      <c r="G15" s="115"/>
      <c r="H15" s="115"/>
      <c r="I15" s="17"/>
      <c r="J15" s="17"/>
      <c r="K15" s="95"/>
      <c r="L15" s="16" t="s">
        <v>49</v>
      </c>
      <c r="M15" s="20">
        <v>45313</v>
      </c>
      <c r="N15" s="92" t="s">
        <v>23</v>
      </c>
    </row>
    <row r="16" spans="1:14" s="19" customFormat="1" ht="51" x14ac:dyDescent="0.2">
      <c r="A16" s="95"/>
      <c r="B16" s="17"/>
      <c r="C16" s="114"/>
      <c r="D16" s="116">
        <f>+B14*25%</f>
        <v>2319754483</v>
      </c>
      <c r="E16" s="114"/>
      <c r="F16" s="114">
        <f>D16</f>
        <v>2319754483</v>
      </c>
      <c r="G16" s="114"/>
      <c r="H16" s="114"/>
      <c r="I16" s="17"/>
      <c r="J16" s="17"/>
      <c r="K16" s="95"/>
      <c r="L16" s="16" t="s">
        <v>50</v>
      </c>
      <c r="M16" s="20">
        <v>45313</v>
      </c>
      <c r="N16" s="92" t="s">
        <v>23</v>
      </c>
    </row>
    <row r="17" spans="1:14" s="19" customFormat="1" ht="34" x14ac:dyDescent="0.2">
      <c r="A17" s="95"/>
      <c r="B17" s="17"/>
      <c r="C17" s="115"/>
      <c r="D17" s="116">
        <v>81461658</v>
      </c>
      <c r="E17" s="115"/>
      <c r="F17" s="115">
        <v>52950078</v>
      </c>
      <c r="G17" s="114"/>
      <c r="H17" s="114">
        <f>D17*25%</f>
        <v>20365414.5</v>
      </c>
      <c r="I17" s="17"/>
      <c r="J17" s="17"/>
      <c r="K17" s="95">
        <f>18%*F17</f>
        <v>9531014.0399999991</v>
      </c>
      <c r="L17" s="16" t="s">
        <v>38</v>
      </c>
      <c r="M17" s="20">
        <v>45594</v>
      </c>
      <c r="N17" s="92" t="s">
        <v>37</v>
      </c>
    </row>
    <row r="18" spans="1:14" ht="34" x14ac:dyDescent="0.2">
      <c r="A18" s="96"/>
      <c r="B18" s="78"/>
      <c r="C18" s="114">
        <v>4102238</v>
      </c>
      <c r="D18" s="116"/>
      <c r="E18" s="114">
        <v>2666455</v>
      </c>
      <c r="F18" s="117"/>
      <c r="G18" s="86">
        <f>C18*25%</f>
        <v>1025559.5</v>
      </c>
      <c r="H18" s="86"/>
      <c r="I18" s="78"/>
      <c r="J18" s="78"/>
      <c r="K18" s="95"/>
      <c r="L18" s="16" t="s">
        <v>39</v>
      </c>
      <c r="M18" s="20">
        <v>45594</v>
      </c>
      <c r="N18" s="92" t="s">
        <v>36</v>
      </c>
    </row>
    <row r="19" spans="1:14" ht="34" x14ac:dyDescent="0.2">
      <c r="A19" s="96"/>
      <c r="B19" s="78"/>
      <c r="C19" s="114"/>
      <c r="D19" s="116">
        <v>153745099</v>
      </c>
      <c r="E19" s="78"/>
      <c r="F19" s="115">
        <v>99934315</v>
      </c>
      <c r="G19" s="86">
        <f t="shared" ref="G19:G32" si="0">C19*25%</f>
        <v>0</v>
      </c>
      <c r="H19" s="86">
        <f>D19*25%</f>
        <v>38436274.75</v>
      </c>
      <c r="I19" s="78"/>
      <c r="J19" s="78"/>
      <c r="K19" s="124">
        <f t="shared" ref="K19:K29" si="1">18%*F19</f>
        <v>17988176.699999999</v>
      </c>
      <c r="L19" s="16" t="s">
        <v>51</v>
      </c>
      <c r="M19" s="60">
        <v>45691</v>
      </c>
      <c r="N19" s="92" t="s">
        <v>41</v>
      </c>
    </row>
    <row r="20" spans="1:14" ht="34" x14ac:dyDescent="0.2">
      <c r="A20" s="96"/>
      <c r="B20" s="78"/>
      <c r="C20" s="114">
        <v>4651625</v>
      </c>
      <c r="D20" s="116"/>
      <c r="E20" s="114">
        <v>3023556</v>
      </c>
      <c r="F20" s="78"/>
      <c r="G20" s="86">
        <f t="shared" si="0"/>
        <v>1162906.25</v>
      </c>
      <c r="H20" s="86">
        <f t="shared" ref="H20:H32" si="2">D20*25%</f>
        <v>0</v>
      </c>
      <c r="I20" s="78"/>
      <c r="J20" s="78"/>
      <c r="K20" s="124"/>
      <c r="L20" s="16" t="s">
        <v>52</v>
      </c>
      <c r="M20" s="60">
        <v>45691</v>
      </c>
      <c r="N20" s="93" t="s">
        <v>42</v>
      </c>
    </row>
    <row r="21" spans="1:14" ht="51" x14ac:dyDescent="0.2">
      <c r="A21" s="125"/>
      <c r="B21" s="87"/>
      <c r="C21" s="118">
        <v>931914</v>
      </c>
      <c r="D21" s="119"/>
      <c r="E21" s="118">
        <f>65%*C21</f>
        <v>605744.1</v>
      </c>
      <c r="F21" s="120"/>
      <c r="G21" s="86">
        <f t="shared" si="0"/>
        <v>232978.5</v>
      </c>
      <c r="H21" s="86">
        <f t="shared" si="2"/>
        <v>0</v>
      </c>
      <c r="I21" s="83"/>
      <c r="J21" s="83"/>
      <c r="K21" s="124"/>
      <c r="L21" s="16" t="s">
        <v>56</v>
      </c>
      <c r="M21" s="64">
        <v>45729</v>
      </c>
      <c r="N21" s="94" t="s">
        <v>60</v>
      </c>
    </row>
    <row r="22" spans="1:14" ht="51" x14ac:dyDescent="0.2">
      <c r="A22" s="125"/>
      <c r="B22" s="87"/>
      <c r="C22" s="118"/>
      <c r="D22" s="119">
        <v>6344602</v>
      </c>
      <c r="E22" s="118"/>
      <c r="F22" s="120">
        <f>65%*D22</f>
        <v>4123991.3000000003</v>
      </c>
      <c r="G22" s="86">
        <f t="shared" si="0"/>
        <v>0</v>
      </c>
      <c r="H22" s="86">
        <f t="shared" si="2"/>
        <v>1586150.5</v>
      </c>
      <c r="I22" s="83"/>
      <c r="J22" s="83"/>
      <c r="K22" s="124">
        <f t="shared" si="1"/>
        <v>742318.43400000001</v>
      </c>
      <c r="L22" s="16" t="s">
        <v>56</v>
      </c>
      <c r="M22" s="64">
        <v>45729</v>
      </c>
      <c r="N22" s="94" t="s">
        <v>59</v>
      </c>
    </row>
    <row r="23" spans="1:14" ht="51" x14ac:dyDescent="0.2">
      <c r="A23" s="125"/>
      <c r="B23" s="87"/>
      <c r="C23" s="118">
        <v>1262257</v>
      </c>
      <c r="D23" s="119"/>
      <c r="E23" s="118">
        <f t="shared" ref="E23:E25" si="3">65%*C23</f>
        <v>820467.05</v>
      </c>
      <c r="F23" s="120">
        <f t="shared" ref="F23:F32" si="4">65%*D23</f>
        <v>0</v>
      </c>
      <c r="G23" s="86">
        <f t="shared" si="0"/>
        <v>315564.25</v>
      </c>
      <c r="H23" s="86">
        <f t="shared" si="2"/>
        <v>0</v>
      </c>
      <c r="I23" s="83"/>
      <c r="J23" s="83"/>
      <c r="K23" s="124">
        <f t="shared" si="1"/>
        <v>0</v>
      </c>
      <c r="L23" s="16" t="s">
        <v>57</v>
      </c>
      <c r="M23" s="64">
        <v>45729</v>
      </c>
      <c r="N23" s="94" t="s">
        <v>60</v>
      </c>
    </row>
    <row r="24" spans="1:14" ht="51" x14ac:dyDescent="0.2">
      <c r="A24" s="125"/>
      <c r="B24" s="87"/>
      <c r="C24" s="118">
        <v>1177882</v>
      </c>
      <c r="D24" s="119"/>
      <c r="E24" s="118">
        <f t="shared" si="3"/>
        <v>765623.3</v>
      </c>
      <c r="F24" s="120">
        <f t="shared" si="4"/>
        <v>0</v>
      </c>
      <c r="G24" s="86">
        <f t="shared" si="0"/>
        <v>294470.5</v>
      </c>
      <c r="H24" s="86">
        <f t="shared" si="2"/>
        <v>0</v>
      </c>
      <c r="I24" s="83"/>
      <c r="J24" s="83"/>
      <c r="K24" s="124">
        <f t="shared" si="1"/>
        <v>0</v>
      </c>
      <c r="L24" s="16" t="s">
        <v>58</v>
      </c>
      <c r="M24" s="64">
        <v>45729</v>
      </c>
      <c r="N24" s="94" t="s">
        <v>59</v>
      </c>
    </row>
    <row r="25" spans="1:14" ht="51" x14ac:dyDescent="0.2">
      <c r="A25" s="125"/>
      <c r="B25" s="87"/>
      <c r="C25" s="118">
        <v>670669</v>
      </c>
      <c r="D25" s="119"/>
      <c r="E25" s="118">
        <f t="shared" si="3"/>
        <v>435934.85000000003</v>
      </c>
      <c r="F25" s="120">
        <f t="shared" si="4"/>
        <v>0</v>
      </c>
      <c r="G25" s="86">
        <f t="shared" si="0"/>
        <v>167667.25</v>
      </c>
      <c r="H25" s="86">
        <f t="shared" si="2"/>
        <v>0</v>
      </c>
      <c r="I25" s="83"/>
      <c r="J25" s="83"/>
      <c r="K25" s="124">
        <f t="shared" si="1"/>
        <v>0</v>
      </c>
      <c r="L25" s="16" t="s">
        <v>61</v>
      </c>
      <c r="M25" s="64">
        <v>45729</v>
      </c>
      <c r="N25" s="94" t="s">
        <v>59</v>
      </c>
    </row>
    <row r="26" spans="1:14" ht="51" x14ac:dyDescent="0.2">
      <c r="A26" s="125"/>
      <c r="B26" s="87"/>
      <c r="C26" s="118">
        <v>1216707</v>
      </c>
      <c r="D26" s="119"/>
      <c r="E26" s="118">
        <f>65%*C26</f>
        <v>790859.55</v>
      </c>
      <c r="F26" s="120">
        <f t="shared" si="4"/>
        <v>0</v>
      </c>
      <c r="G26" s="86">
        <f t="shared" si="0"/>
        <v>304176.75</v>
      </c>
      <c r="H26" s="86">
        <f t="shared" si="2"/>
        <v>0</v>
      </c>
      <c r="I26" s="83"/>
      <c r="J26" s="83"/>
      <c r="K26" s="124">
        <f t="shared" si="1"/>
        <v>0</v>
      </c>
      <c r="L26" s="63" t="s">
        <v>62</v>
      </c>
      <c r="M26" s="64">
        <v>45729</v>
      </c>
      <c r="N26" s="94" t="s">
        <v>59</v>
      </c>
    </row>
    <row r="27" spans="1:14" ht="51" x14ac:dyDescent="0.2">
      <c r="A27" s="96"/>
      <c r="B27" s="78"/>
      <c r="C27" s="114"/>
      <c r="D27" s="116">
        <f>25256520+7364205</f>
        <v>32620725</v>
      </c>
      <c r="E27" s="118">
        <f t="shared" ref="E27:E32" si="5">65%*C27</f>
        <v>0</v>
      </c>
      <c r="F27" s="120">
        <f t="shared" si="4"/>
        <v>21203471.25</v>
      </c>
      <c r="G27" s="86">
        <f t="shared" si="0"/>
        <v>0</v>
      </c>
      <c r="H27" s="86">
        <f t="shared" si="2"/>
        <v>8155181.25</v>
      </c>
      <c r="I27" s="84"/>
      <c r="J27" s="84"/>
      <c r="K27" s="124">
        <f t="shared" si="1"/>
        <v>3816624.8249999997</v>
      </c>
      <c r="L27" s="63" t="s">
        <v>69</v>
      </c>
      <c r="M27" s="60">
        <v>45769</v>
      </c>
      <c r="N27" s="93" t="s">
        <v>71</v>
      </c>
    </row>
    <row r="28" spans="1:14" ht="51" x14ac:dyDescent="0.2">
      <c r="A28" s="96"/>
      <c r="B28" s="78"/>
      <c r="C28" s="78"/>
      <c r="D28" s="116">
        <v>424358930</v>
      </c>
      <c r="E28" s="118">
        <f t="shared" si="5"/>
        <v>0</v>
      </c>
      <c r="F28" s="120">
        <f t="shared" si="4"/>
        <v>275833304.5</v>
      </c>
      <c r="G28" s="86">
        <f t="shared" si="0"/>
        <v>0</v>
      </c>
      <c r="H28" s="86">
        <f t="shared" si="2"/>
        <v>106089732.5</v>
      </c>
      <c r="I28" s="78"/>
      <c r="J28" s="78"/>
      <c r="K28" s="124">
        <f t="shared" si="1"/>
        <v>49649994.809999995</v>
      </c>
      <c r="L28" s="63" t="s">
        <v>72</v>
      </c>
      <c r="M28" s="60">
        <v>45769</v>
      </c>
      <c r="N28" s="93" t="s">
        <v>71</v>
      </c>
    </row>
    <row r="29" spans="1:14" ht="51" x14ac:dyDescent="0.2">
      <c r="A29" s="125"/>
      <c r="B29" s="87"/>
      <c r="C29" s="114">
        <v>454823</v>
      </c>
      <c r="D29" s="116"/>
      <c r="E29" s="118">
        <f t="shared" si="5"/>
        <v>295634.95</v>
      </c>
      <c r="F29" s="120">
        <f t="shared" si="4"/>
        <v>0</v>
      </c>
      <c r="G29" s="86">
        <f t="shared" si="0"/>
        <v>113705.75</v>
      </c>
      <c r="H29" s="86">
        <f t="shared" si="2"/>
        <v>0</v>
      </c>
      <c r="I29" s="86"/>
      <c r="J29" s="86"/>
      <c r="K29" s="124">
        <f t="shared" si="1"/>
        <v>0</v>
      </c>
      <c r="L29" s="16" t="s">
        <v>75</v>
      </c>
      <c r="M29" s="60">
        <v>45827</v>
      </c>
      <c r="N29" s="93" t="s">
        <v>76</v>
      </c>
    </row>
    <row r="30" spans="1:14" ht="68" x14ac:dyDescent="0.2">
      <c r="A30" s="125"/>
      <c r="B30" s="87"/>
      <c r="C30" s="118"/>
      <c r="D30" s="119">
        <v>390810137</v>
      </c>
      <c r="E30" s="118">
        <f t="shared" si="5"/>
        <v>0</v>
      </c>
      <c r="F30" s="120">
        <f t="shared" si="4"/>
        <v>254026589.05000001</v>
      </c>
      <c r="G30" s="86">
        <f t="shared" si="0"/>
        <v>0</v>
      </c>
      <c r="H30" s="86">
        <f t="shared" si="2"/>
        <v>97702534.25</v>
      </c>
      <c r="I30" s="121"/>
      <c r="J30" s="121"/>
      <c r="K30" s="135">
        <v>45724786.028999999</v>
      </c>
      <c r="L30" s="63" t="s">
        <v>77</v>
      </c>
      <c r="M30" s="64">
        <v>45827</v>
      </c>
      <c r="N30" s="94" t="s">
        <v>78</v>
      </c>
    </row>
    <row r="31" spans="1:14" s="127" customFormat="1" ht="68" x14ac:dyDescent="0.2">
      <c r="A31" s="96"/>
      <c r="B31" s="78"/>
      <c r="C31" s="114"/>
      <c r="D31" s="116">
        <v>39211034</v>
      </c>
      <c r="E31" s="118">
        <f t="shared" si="5"/>
        <v>0</v>
      </c>
      <c r="F31" s="120">
        <f t="shared" si="4"/>
        <v>25487172.100000001</v>
      </c>
      <c r="G31" s="86">
        <f t="shared" si="0"/>
        <v>0</v>
      </c>
      <c r="H31" s="86">
        <f t="shared" si="2"/>
        <v>9802758.5</v>
      </c>
      <c r="I31" s="86"/>
      <c r="J31" s="86"/>
      <c r="K31" s="124">
        <f>18%*F31</f>
        <v>4587690.9780000001</v>
      </c>
      <c r="L31" s="16" t="s">
        <v>82</v>
      </c>
      <c r="M31" s="60">
        <v>45855</v>
      </c>
      <c r="N31" s="93" t="s">
        <v>78</v>
      </c>
    </row>
    <row r="32" spans="1:14" s="127" customFormat="1" ht="51" x14ac:dyDescent="0.2">
      <c r="A32" s="130"/>
      <c r="B32" s="83"/>
      <c r="C32" s="118">
        <v>3351334</v>
      </c>
      <c r="D32" s="8"/>
      <c r="E32" s="118">
        <f t="shared" si="5"/>
        <v>2178367.1</v>
      </c>
      <c r="F32" s="120">
        <f t="shared" si="4"/>
        <v>0</v>
      </c>
      <c r="G32" s="86">
        <f t="shared" si="0"/>
        <v>837833.5</v>
      </c>
      <c r="H32" s="86">
        <f t="shared" si="2"/>
        <v>0</v>
      </c>
      <c r="I32" s="131"/>
      <c r="J32" s="131"/>
      <c r="K32" s="124">
        <f t="shared" ref="K32" si="6">18%*F32</f>
        <v>0</v>
      </c>
      <c r="L32" s="63" t="s">
        <v>84</v>
      </c>
      <c r="M32" s="64">
        <v>45898</v>
      </c>
      <c r="N32" s="94" t="s">
        <v>76</v>
      </c>
    </row>
    <row r="33" spans="1:14" ht="85" x14ac:dyDescent="0.2">
      <c r="A33" s="125"/>
      <c r="B33" s="87"/>
      <c r="C33" s="118"/>
      <c r="D33" s="119">
        <f>24028160+19347750</f>
        <v>43375910</v>
      </c>
      <c r="E33" s="118">
        <f t="shared" ref="E33:E34" si="7">65%*C33</f>
        <v>0</v>
      </c>
      <c r="F33" s="120">
        <f t="shared" ref="F33:F34" si="8">65%*D33</f>
        <v>28194341.5</v>
      </c>
      <c r="G33" s="121">
        <f t="shared" ref="G33:G34" si="9">C33*25%</f>
        <v>0</v>
      </c>
      <c r="H33" s="121">
        <f t="shared" ref="H33:H34" si="10">D33*25%</f>
        <v>10843977.5</v>
      </c>
      <c r="I33" s="131"/>
      <c r="J33" s="131"/>
      <c r="K33" s="135">
        <f t="shared" ref="K33:K34" si="11">18%*F33</f>
        <v>5074981.47</v>
      </c>
      <c r="L33" s="63" t="s">
        <v>85</v>
      </c>
      <c r="M33" s="64">
        <v>45898</v>
      </c>
      <c r="N33" s="94" t="s">
        <v>86</v>
      </c>
    </row>
    <row r="34" spans="1:14" ht="52" thickBot="1" x14ac:dyDescent="0.25">
      <c r="A34" s="89"/>
      <c r="B34" s="79"/>
      <c r="C34" s="112">
        <v>879115</v>
      </c>
      <c r="D34" s="122"/>
      <c r="E34" s="118">
        <f t="shared" si="7"/>
        <v>571424.75</v>
      </c>
      <c r="F34" s="120">
        <f t="shared" si="8"/>
        <v>0</v>
      </c>
      <c r="G34" s="86">
        <f t="shared" si="9"/>
        <v>219778.75</v>
      </c>
      <c r="H34" s="86">
        <f t="shared" si="10"/>
        <v>0</v>
      </c>
      <c r="I34" s="131"/>
      <c r="J34" s="131"/>
      <c r="K34" s="124">
        <f t="shared" si="11"/>
        <v>0</v>
      </c>
      <c r="L34" s="16" t="s">
        <v>90</v>
      </c>
      <c r="M34" s="60">
        <v>45911</v>
      </c>
      <c r="N34" s="94" t="s">
        <v>76</v>
      </c>
    </row>
    <row r="35" spans="1:14" ht="69" thickBot="1" x14ac:dyDescent="0.25">
      <c r="A35" s="89"/>
      <c r="B35" s="79"/>
      <c r="C35" s="112"/>
      <c r="D35" s="122">
        <v>84073636</v>
      </c>
      <c r="E35" s="112">
        <f t="shared" ref="E35:E38" si="12">65%*C35</f>
        <v>0</v>
      </c>
      <c r="F35" s="188">
        <f t="shared" ref="F35:F39" si="13">65%*D35</f>
        <v>54647863.399999999</v>
      </c>
      <c r="G35" s="113">
        <f t="shared" ref="G35:G38" si="14">C35*25%</f>
        <v>0</v>
      </c>
      <c r="H35" s="113">
        <f t="shared" ref="H35:H38" si="15">D35*25%</f>
        <v>21018409</v>
      </c>
      <c r="I35" s="132"/>
      <c r="J35" s="132"/>
      <c r="K35" s="133">
        <f t="shared" ref="K35:K39" si="16">18%*F35</f>
        <v>9836615.4119999986</v>
      </c>
      <c r="L35" s="123" t="s">
        <v>91</v>
      </c>
      <c r="M35" s="76">
        <v>45911</v>
      </c>
      <c r="N35" s="106" t="s">
        <v>89</v>
      </c>
    </row>
    <row r="36" spans="1:14" ht="69" thickBot="1" x14ac:dyDescent="0.25">
      <c r="A36" s="89"/>
      <c r="B36" s="79"/>
      <c r="C36" s="112"/>
      <c r="D36" s="122">
        <v>128768003</v>
      </c>
      <c r="E36" s="112">
        <f t="shared" si="12"/>
        <v>0</v>
      </c>
      <c r="F36" s="188">
        <f t="shared" si="13"/>
        <v>83699201.950000003</v>
      </c>
      <c r="G36" s="113">
        <f t="shared" si="14"/>
        <v>0</v>
      </c>
      <c r="H36" s="113">
        <f t="shared" si="15"/>
        <v>32192000.75</v>
      </c>
      <c r="I36" s="132"/>
      <c r="J36" s="132"/>
      <c r="K36" s="133">
        <f t="shared" si="16"/>
        <v>15065856.351</v>
      </c>
      <c r="L36" s="123" t="s">
        <v>94</v>
      </c>
      <c r="M36" s="76">
        <v>45974</v>
      </c>
      <c r="N36" s="106" t="s">
        <v>89</v>
      </c>
    </row>
    <row r="37" spans="1:14" ht="69" thickBot="1" x14ac:dyDescent="0.25">
      <c r="A37" s="137"/>
      <c r="B37" s="138"/>
      <c r="C37" s="139">
        <v>676788</v>
      </c>
      <c r="D37" s="140"/>
      <c r="E37" s="139">
        <f t="shared" ref="E37" si="17">65%*C37</f>
        <v>439912.2</v>
      </c>
      <c r="F37" s="188">
        <f t="shared" si="13"/>
        <v>0</v>
      </c>
      <c r="G37" s="142">
        <f t="shared" ref="G37" si="18">C37*25%</f>
        <v>169197</v>
      </c>
      <c r="H37" s="113">
        <f t="shared" si="15"/>
        <v>0</v>
      </c>
      <c r="I37" s="143"/>
      <c r="J37" s="143"/>
      <c r="K37" s="133">
        <f t="shared" si="16"/>
        <v>0</v>
      </c>
      <c r="L37" s="144" t="s">
        <v>95</v>
      </c>
      <c r="M37" s="145">
        <v>45974</v>
      </c>
      <c r="N37" s="146" t="s">
        <v>96</v>
      </c>
    </row>
    <row r="38" spans="1:14" ht="69" thickBot="1" x14ac:dyDescent="0.25">
      <c r="A38" s="138"/>
      <c r="B38" s="138"/>
      <c r="C38" s="139">
        <v>364129</v>
      </c>
      <c r="D38" s="140"/>
      <c r="E38" s="139">
        <f t="shared" si="12"/>
        <v>236683.85</v>
      </c>
      <c r="F38" s="188">
        <f t="shared" si="13"/>
        <v>0</v>
      </c>
      <c r="G38" s="142">
        <f t="shared" si="14"/>
        <v>91032.25</v>
      </c>
      <c r="H38" s="113">
        <f t="shared" si="15"/>
        <v>0</v>
      </c>
      <c r="I38" s="143"/>
      <c r="J38" s="143"/>
      <c r="K38" s="133">
        <f t="shared" si="16"/>
        <v>0</v>
      </c>
      <c r="L38" s="144" t="s">
        <v>97</v>
      </c>
      <c r="M38" s="145">
        <v>45974</v>
      </c>
      <c r="N38" s="161" t="s">
        <v>98</v>
      </c>
    </row>
    <row r="39" spans="1:14" ht="69" thickBot="1" x14ac:dyDescent="0.25">
      <c r="A39" s="138"/>
      <c r="B39" s="138"/>
      <c r="C39" s="139"/>
      <c r="D39" s="140">
        <v>64481964</v>
      </c>
      <c r="E39" s="139"/>
      <c r="F39" s="188">
        <f t="shared" si="13"/>
        <v>41913276.600000001</v>
      </c>
      <c r="G39" s="142"/>
      <c r="H39" s="113">
        <f>D39*25%</f>
        <v>16120491</v>
      </c>
      <c r="I39" s="143"/>
      <c r="J39" s="143"/>
      <c r="K39" s="133">
        <f t="shared" si="16"/>
        <v>7544389.7879999997</v>
      </c>
      <c r="L39" s="153" t="s">
        <v>106</v>
      </c>
      <c r="M39" s="165">
        <v>46071</v>
      </c>
      <c r="N39" s="166" t="s">
        <v>78</v>
      </c>
    </row>
    <row r="40" spans="1:14" ht="69" thickBot="1" x14ac:dyDescent="0.25">
      <c r="A40" s="176"/>
      <c r="B40" s="176"/>
      <c r="C40" s="177"/>
      <c r="D40" s="178">
        <f>52460655+107282773</f>
        <v>159743428</v>
      </c>
      <c r="E40" s="177"/>
      <c r="F40" s="189">
        <f>65%*D40</f>
        <v>103833228.2</v>
      </c>
      <c r="G40" s="179"/>
      <c r="H40" s="179">
        <f>D40*25%</f>
        <v>39935857</v>
      </c>
      <c r="I40" s="180"/>
      <c r="J40" s="180"/>
      <c r="K40" s="181">
        <f>18%*F40</f>
        <v>18689981.076000001</v>
      </c>
      <c r="L40" s="173" t="s">
        <v>107</v>
      </c>
      <c r="M40" s="182">
        <v>46092</v>
      </c>
      <c r="N40" s="183" t="s">
        <v>78</v>
      </c>
    </row>
    <row r="41" spans="1:14" ht="69" thickBot="1" x14ac:dyDescent="0.25">
      <c r="A41" s="138"/>
      <c r="B41" s="138"/>
      <c r="C41" s="138"/>
      <c r="D41" s="190">
        <f>89740492+120991202</f>
        <v>210731694</v>
      </c>
      <c r="E41" s="138"/>
      <c r="F41" s="141">
        <f>65%*D41</f>
        <v>136975601.09999999</v>
      </c>
      <c r="G41" s="138"/>
      <c r="H41" s="142">
        <f>D41*25%</f>
        <v>52682923.5</v>
      </c>
      <c r="I41" s="138"/>
      <c r="J41" s="138"/>
      <c r="K41" s="154">
        <f>18%*F41</f>
        <v>24655608.197999999</v>
      </c>
      <c r="L41" s="153" t="s">
        <v>110</v>
      </c>
      <c r="M41" s="145">
        <v>46106</v>
      </c>
      <c r="N41" s="183" t="s">
        <v>109</v>
      </c>
    </row>
    <row r="42" spans="1:14" ht="69" thickBot="1" x14ac:dyDescent="0.25">
      <c r="A42" s="138"/>
      <c r="B42" s="138"/>
      <c r="C42" s="138"/>
      <c r="D42" s="190">
        <f>42176704+239529863</f>
        <v>281706567</v>
      </c>
      <c r="E42" s="138"/>
      <c r="F42" s="141">
        <f>65%*D42</f>
        <v>183109268.55000001</v>
      </c>
      <c r="G42" s="138"/>
      <c r="H42" s="142">
        <f>D42*25%</f>
        <v>70426641.75</v>
      </c>
      <c r="I42" s="138"/>
      <c r="J42" s="138"/>
      <c r="K42" s="154">
        <f>18%*F42</f>
        <v>32959668.339000002</v>
      </c>
      <c r="L42" s="153" t="s">
        <v>112</v>
      </c>
      <c r="M42" s="226">
        <v>46160</v>
      </c>
      <c r="N42" s="161" t="s">
        <v>109</v>
      </c>
    </row>
    <row r="43" spans="1:14" ht="17" thickBot="1" x14ac:dyDescent="0.25">
      <c r="H43" s="59"/>
      <c r="J43" s="62"/>
    </row>
    <row r="44" spans="1:14" ht="14.5" customHeight="1" x14ac:dyDescent="0.2">
      <c r="A44" s="197" t="s">
        <v>16</v>
      </c>
      <c r="B44" s="198"/>
      <c r="C44" s="198"/>
      <c r="D44" s="198"/>
      <c r="E44" s="191">
        <f>SUM(E13:E43)</f>
        <v>18355612.450000003</v>
      </c>
      <c r="F44" s="54"/>
      <c r="I44" s="62"/>
    </row>
    <row r="45" spans="1:14" ht="17" thickBot="1" x14ac:dyDescent="0.25">
      <c r="A45" s="200"/>
      <c r="B45" s="201"/>
      <c r="C45" s="201"/>
      <c r="D45" s="201"/>
      <c r="E45" s="55"/>
      <c r="F45" s="192">
        <f>SUM(F13:F43)</f>
        <v>3685686185.5</v>
      </c>
    </row>
    <row r="46" spans="1:14" ht="14.5" customHeight="1" x14ac:dyDescent="0.2">
      <c r="A46" s="197" t="s">
        <v>9</v>
      </c>
      <c r="B46" s="198"/>
      <c r="C46" s="198"/>
      <c r="D46" s="198"/>
      <c r="E46" s="22">
        <f>+E44/A13</f>
        <v>0.83057825322302714</v>
      </c>
      <c r="F46" s="21"/>
      <c r="G46" s="5" t="s">
        <v>83</v>
      </c>
    </row>
    <row r="47" spans="1:14" ht="17" thickBot="1" x14ac:dyDescent="0.25">
      <c r="A47" s="200"/>
      <c r="B47" s="201"/>
      <c r="C47" s="201"/>
      <c r="D47" s="201"/>
      <c r="E47" s="23"/>
      <c r="F47" s="24">
        <f>+F45/B14</f>
        <v>0.39720649453530982</v>
      </c>
    </row>
    <row r="48" spans="1:14" ht="26" customHeight="1" thickBot="1" x14ac:dyDescent="0.25">
      <c r="A48" s="209" t="s">
        <v>17</v>
      </c>
      <c r="B48" s="210"/>
      <c r="C48" s="210"/>
      <c r="D48" s="210"/>
      <c r="E48" s="224">
        <f>E44*B6+F45</f>
        <v>14932169933.615004</v>
      </c>
      <c r="F48" s="225"/>
    </row>
    <row r="49" spans="1:8" ht="14.5" customHeight="1" x14ac:dyDescent="0.2">
      <c r="A49" s="197" t="s">
        <v>18</v>
      </c>
      <c r="B49" s="198"/>
      <c r="C49" s="198"/>
      <c r="D49" s="198"/>
      <c r="E49" s="30">
        <f>A13-E44</f>
        <v>3744186.549999997</v>
      </c>
      <c r="F49" s="31"/>
    </row>
    <row r="50" spans="1:8" ht="17" thickBot="1" x14ac:dyDescent="0.25">
      <c r="A50" s="222"/>
      <c r="B50" s="223"/>
      <c r="C50" s="223"/>
      <c r="D50" s="223"/>
      <c r="E50" s="33"/>
      <c r="F50" s="34">
        <f>B14-F45</f>
        <v>5593331746.5</v>
      </c>
    </row>
    <row r="51" spans="1:8" ht="14.5" customHeight="1" x14ac:dyDescent="0.2">
      <c r="A51" s="197" t="s">
        <v>54</v>
      </c>
      <c r="B51" s="198"/>
      <c r="C51" s="198"/>
      <c r="D51" s="198"/>
      <c r="E51" s="198"/>
      <c r="F51" s="198"/>
      <c r="G51" s="35">
        <f>C15-SUM(G13:G38)</f>
        <v>590079.5</v>
      </c>
      <c r="H51" s="31"/>
    </row>
    <row r="52" spans="1:8" ht="17" thickBot="1" x14ac:dyDescent="0.25">
      <c r="A52" s="200"/>
      <c r="B52" s="201"/>
      <c r="C52" s="201"/>
      <c r="D52" s="201"/>
      <c r="E52" s="201"/>
      <c r="F52" s="201"/>
      <c r="G52" s="36"/>
      <c r="H52" s="37">
        <f>D16-SUM(H13:H38)</f>
        <v>1973562049.5</v>
      </c>
    </row>
    <row r="55" spans="1:8" x14ac:dyDescent="0.2">
      <c r="G55" s="25" t="s">
        <v>24</v>
      </c>
      <c r="H55" s="25"/>
    </row>
    <row r="63" spans="1:8" x14ac:dyDescent="0.2">
      <c r="H63" s="26"/>
    </row>
  </sheetData>
  <mergeCells count="14">
    <mergeCell ref="A44:D45"/>
    <mergeCell ref="A46:D47"/>
    <mergeCell ref="A49:D50"/>
    <mergeCell ref="A48:D48"/>
    <mergeCell ref="A51:F52"/>
    <mergeCell ref="E48:F48"/>
    <mergeCell ref="M11:M12"/>
    <mergeCell ref="N11:N12"/>
    <mergeCell ref="A11:B11"/>
    <mergeCell ref="C11:D11"/>
    <mergeCell ref="G11:H11"/>
    <mergeCell ref="I11:J11"/>
    <mergeCell ref="E11:F11"/>
    <mergeCell ref="L11:L12"/>
  </mergeCells>
  <phoneticPr fontId="3" type="noConversion"/>
  <pageMargins left="0.25" right="0.25" top="0.75" bottom="0.75" header="0.3" footer="0.3"/>
  <pageSetup paperSize="9" scale="42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6"/>
  <sheetViews>
    <sheetView view="pageBreakPreview" topLeftCell="A37" zoomScaleNormal="100" workbookViewId="0">
      <selection activeCell="G48" sqref="G48"/>
    </sheetView>
  </sheetViews>
  <sheetFormatPr baseColWidth="10" defaultColWidth="10.83203125" defaultRowHeight="16" x14ac:dyDescent="0.2"/>
  <cols>
    <col min="1" max="1" width="2.83203125" style="4" bestFit="1" customWidth="1"/>
    <col min="2" max="2" width="22.1640625" style="5" customWidth="1"/>
    <col min="3" max="3" width="25.83203125" style="5" customWidth="1"/>
    <col min="4" max="4" width="20.83203125" style="5" bestFit="1" customWidth="1"/>
    <col min="5" max="5" width="23.33203125" style="5" customWidth="1"/>
    <col min="6" max="6" width="29.1640625" style="5" customWidth="1"/>
    <col min="7" max="7" width="23.1640625" style="5" customWidth="1"/>
    <col min="8" max="8" width="20.1640625" style="5" customWidth="1"/>
    <col min="9" max="9" width="24.83203125" style="5" customWidth="1"/>
    <col min="10" max="10" width="18.1640625" style="5" bestFit="1" customWidth="1"/>
    <col min="11" max="11" width="16.5" style="5" bestFit="1" customWidth="1"/>
    <col min="12" max="12" width="17.33203125" style="5" bestFit="1" customWidth="1"/>
    <col min="13" max="13" width="28.33203125" style="6" bestFit="1" customWidth="1"/>
    <col min="14" max="14" width="25.83203125" style="5" bestFit="1" customWidth="1"/>
    <col min="15" max="15" width="23.83203125" style="7" customWidth="1"/>
    <col min="16" max="16384" width="10.83203125" style="8"/>
  </cols>
  <sheetData>
    <row r="1" spans="1:15" x14ac:dyDescent="0.2">
      <c r="B1" s="10" t="s">
        <v>22</v>
      </c>
    </row>
    <row r="3" spans="1:15" x14ac:dyDescent="0.2">
      <c r="A3" s="5"/>
      <c r="B3" s="9" t="s">
        <v>10</v>
      </c>
      <c r="C3" s="5" t="s">
        <v>11</v>
      </c>
    </row>
    <row r="4" spans="1:15" x14ac:dyDescent="0.2">
      <c r="B4" s="9" t="s">
        <v>12</v>
      </c>
      <c r="C4" s="5" t="s">
        <v>14</v>
      </c>
    </row>
    <row r="5" spans="1:15" ht="136" x14ac:dyDescent="0.2">
      <c r="B5" s="9" t="s">
        <v>0</v>
      </c>
      <c r="C5" s="57" t="s">
        <v>25</v>
      </c>
      <c r="D5" s="10"/>
      <c r="E5" s="10"/>
      <c r="F5" s="10"/>
      <c r="G5" s="10"/>
      <c r="H5" s="10"/>
      <c r="I5" s="10"/>
      <c r="J5" s="10"/>
      <c r="K5" s="10"/>
      <c r="L5" s="10"/>
    </row>
    <row r="6" spans="1:15" x14ac:dyDescent="0.2">
      <c r="A6" s="5"/>
      <c r="B6" s="9" t="s">
        <v>13</v>
      </c>
      <c r="C6" s="5">
        <v>612.70000000000005</v>
      </c>
      <c r="E6" s="10" t="s">
        <v>21</v>
      </c>
    </row>
    <row r="7" spans="1:15" x14ac:dyDescent="0.2">
      <c r="A7" s="5"/>
      <c r="B7" s="9" t="s">
        <v>19</v>
      </c>
      <c r="C7" s="11">
        <v>24003492</v>
      </c>
      <c r="G7" s="59"/>
    </row>
    <row r="8" spans="1:15" x14ac:dyDescent="0.2">
      <c r="A8" s="5"/>
      <c r="B8" s="9" t="s">
        <v>20</v>
      </c>
      <c r="C8" s="11">
        <v>10506368029</v>
      </c>
    </row>
    <row r="9" spans="1:15" x14ac:dyDescent="0.2">
      <c r="A9" s="5"/>
      <c r="B9" s="9" t="s">
        <v>5</v>
      </c>
      <c r="C9" s="11">
        <f>C6*C7+C8</f>
        <v>25213307577.400002</v>
      </c>
    </row>
    <row r="10" spans="1:15" ht="17" thickBot="1" x14ac:dyDescent="0.25"/>
    <row r="11" spans="1:15" s="12" customFormat="1" ht="21" customHeight="1" thickBot="1" x14ac:dyDescent="0.25">
      <c r="A11" s="72"/>
      <c r="B11" s="197" t="s">
        <v>6</v>
      </c>
      <c r="C11" s="215"/>
      <c r="D11" s="197" t="s">
        <v>40</v>
      </c>
      <c r="E11" s="199"/>
      <c r="F11" s="205" t="s">
        <v>8</v>
      </c>
      <c r="G11" s="206"/>
      <c r="H11" s="197" t="s">
        <v>53</v>
      </c>
      <c r="I11" s="199"/>
      <c r="J11" s="197" t="s">
        <v>7</v>
      </c>
      <c r="K11" s="199"/>
      <c r="L11" s="65" t="s">
        <v>55</v>
      </c>
      <c r="M11" s="207" t="s">
        <v>2</v>
      </c>
      <c r="N11" s="203" t="s">
        <v>3</v>
      </c>
      <c r="O11" s="203" t="s">
        <v>4</v>
      </c>
    </row>
    <row r="12" spans="1:15" s="13" customFormat="1" x14ac:dyDescent="0.2">
      <c r="A12" s="73" t="s">
        <v>1</v>
      </c>
      <c r="B12" s="2" t="s">
        <v>26</v>
      </c>
      <c r="C12" s="69" t="s">
        <v>27</v>
      </c>
      <c r="D12" s="2" t="s">
        <v>26</v>
      </c>
      <c r="E12" s="3" t="s">
        <v>27</v>
      </c>
      <c r="F12" s="70" t="s">
        <v>26</v>
      </c>
      <c r="G12" s="71" t="s">
        <v>27</v>
      </c>
      <c r="H12" s="2" t="s">
        <v>26</v>
      </c>
      <c r="I12" s="3" t="s">
        <v>27</v>
      </c>
      <c r="J12" s="2" t="s">
        <v>26</v>
      </c>
      <c r="K12" s="3" t="s">
        <v>27</v>
      </c>
      <c r="L12" s="66" t="s">
        <v>27</v>
      </c>
      <c r="M12" s="208"/>
      <c r="N12" s="204"/>
      <c r="O12" s="204"/>
    </row>
    <row r="13" spans="1:15" s="19" customFormat="1" x14ac:dyDescent="0.2">
      <c r="A13" s="212">
        <v>0</v>
      </c>
      <c r="B13" s="27">
        <f>C7</f>
        <v>24003492</v>
      </c>
      <c r="C13" s="68"/>
      <c r="D13" s="29"/>
      <c r="E13" s="28"/>
      <c r="F13" s="29"/>
      <c r="G13" s="61"/>
      <c r="H13" s="15"/>
      <c r="I13" s="14"/>
      <c r="J13" s="15"/>
      <c r="K13" s="14"/>
      <c r="L13" s="17"/>
      <c r="M13" s="16"/>
      <c r="N13" s="17"/>
      <c r="O13" s="18"/>
    </row>
    <row r="14" spans="1:15" s="19" customFormat="1" ht="17" thickBot="1" x14ac:dyDescent="0.25">
      <c r="A14" s="213"/>
      <c r="B14" s="98"/>
      <c r="C14" s="99">
        <f>C8</f>
        <v>10506368029</v>
      </c>
      <c r="D14" s="98"/>
      <c r="E14" s="100"/>
      <c r="F14" s="98"/>
      <c r="G14" s="101"/>
      <c r="H14" s="102"/>
      <c r="I14" s="103"/>
      <c r="J14" s="102"/>
      <c r="K14" s="103"/>
      <c r="L14" s="104"/>
      <c r="M14" s="63"/>
      <c r="N14" s="104"/>
      <c r="O14" s="105"/>
    </row>
    <row r="15" spans="1:15" s="19" customFormat="1" ht="52" thickBot="1" x14ac:dyDescent="0.25">
      <c r="A15" s="214">
        <v>1</v>
      </c>
      <c r="B15" s="154"/>
      <c r="C15" s="154"/>
      <c r="D15" s="139">
        <f>+B13*25%</f>
        <v>6000873</v>
      </c>
      <c r="E15" s="139"/>
      <c r="F15" s="139">
        <f>D15</f>
        <v>6000873</v>
      </c>
      <c r="G15" s="139"/>
      <c r="H15" s="155"/>
      <c r="I15" s="155"/>
      <c r="J15" s="156"/>
      <c r="K15" s="156"/>
      <c r="L15" s="156"/>
      <c r="M15" s="144" t="s">
        <v>48</v>
      </c>
      <c r="N15" s="157">
        <v>45313</v>
      </c>
      <c r="O15" s="158" t="s">
        <v>23</v>
      </c>
    </row>
    <row r="16" spans="1:15" s="19" customFormat="1" ht="52" thickBot="1" x14ac:dyDescent="0.25">
      <c r="A16" s="212"/>
      <c r="B16" s="154"/>
      <c r="C16" s="154"/>
      <c r="D16" s="139"/>
      <c r="E16" s="139">
        <f>+C14*25%</f>
        <v>2626592007.25</v>
      </c>
      <c r="F16" s="139"/>
      <c r="G16" s="139">
        <f>E16</f>
        <v>2626592007.25</v>
      </c>
      <c r="H16" s="155"/>
      <c r="I16" s="155"/>
      <c r="J16" s="156"/>
      <c r="K16" s="156"/>
      <c r="L16" s="156"/>
      <c r="M16" s="144" t="s">
        <v>47</v>
      </c>
      <c r="N16" s="157">
        <v>45313</v>
      </c>
      <c r="O16" s="158" t="s">
        <v>23</v>
      </c>
    </row>
    <row r="17" spans="1:15" s="19" customFormat="1" ht="35" thickBot="1" x14ac:dyDescent="0.25">
      <c r="A17" s="212">
        <v>2</v>
      </c>
      <c r="B17" s="156"/>
      <c r="C17" s="156"/>
      <c r="D17" s="139"/>
      <c r="E17" s="139">
        <v>86652173</v>
      </c>
      <c r="F17" s="155"/>
      <c r="G17" s="139">
        <f>65%*E17</f>
        <v>56323912.450000003</v>
      </c>
      <c r="H17" s="139"/>
      <c r="I17" s="139">
        <f>E17*25%</f>
        <v>21663043.25</v>
      </c>
      <c r="J17" s="156"/>
      <c r="K17" s="156"/>
      <c r="L17" s="154">
        <f>G17*18%</f>
        <v>10138304.241</v>
      </c>
      <c r="M17" s="144" t="s">
        <v>46</v>
      </c>
      <c r="N17" s="157">
        <v>45594</v>
      </c>
      <c r="O17" s="158" t="s">
        <v>37</v>
      </c>
    </row>
    <row r="18" spans="1:15" ht="35" thickBot="1" x14ac:dyDescent="0.25">
      <c r="A18" s="212"/>
      <c r="B18" s="138"/>
      <c r="C18" s="138"/>
      <c r="D18" s="139">
        <v>4420035</v>
      </c>
      <c r="E18" s="139"/>
      <c r="F18" s="139">
        <f>65%*D18</f>
        <v>2873022.75</v>
      </c>
      <c r="G18" s="159"/>
      <c r="H18" s="142">
        <f>D18*25%</f>
        <v>1105008.75</v>
      </c>
      <c r="I18" s="142"/>
      <c r="J18" s="138"/>
      <c r="K18" s="138"/>
      <c r="L18" s="154"/>
      <c r="M18" s="144" t="s">
        <v>45</v>
      </c>
      <c r="N18" s="157">
        <v>45594</v>
      </c>
      <c r="O18" s="158" t="s">
        <v>36</v>
      </c>
    </row>
    <row r="19" spans="1:15" ht="35" thickBot="1" x14ac:dyDescent="0.25">
      <c r="A19" s="74"/>
      <c r="B19" s="138"/>
      <c r="C19" s="138"/>
      <c r="D19" s="142"/>
      <c r="E19" s="139">
        <v>45214729</v>
      </c>
      <c r="F19" s="138"/>
      <c r="G19" s="139">
        <f>65%*E19</f>
        <v>29389573.850000001</v>
      </c>
      <c r="H19" s="142"/>
      <c r="I19" s="142">
        <f>E19*25%</f>
        <v>11303682.25</v>
      </c>
      <c r="J19" s="138"/>
      <c r="K19" s="138"/>
      <c r="L19" s="154">
        <f t="shared" ref="L19:L25" si="0">G19*18%</f>
        <v>5290123.2930000005</v>
      </c>
      <c r="M19" s="144" t="s">
        <v>43</v>
      </c>
      <c r="N19" s="145">
        <v>45325</v>
      </c>
      <c r="O19" s="160" t="s">
        <v>41</v>
      </c>
    </row>
    <row r="20" spans="1:15" ht="35" thickBot="1" x14ac:dyDescent="0.25">
      <c r="A20" s="74"/>
      <c r="B20" s="138"/>
      <c r="C20" s="138"/>
      <c r="D20" s="139">
        <v>5509868</v>
      </c>
      <c r="E20" s="142"/>
      <c r="F20" s="139">
        <f>65%*D20</f>
        <v>3581414.2</v>
      </c>
      <c r="G20" s="138"/>
      <c r="H20" s="142">
        <f>D20*25%</f>
        <v>1377467</v>
      </c>
      <c r="I20" s="142"/>
      <c r="J20" s="138"/>
      <c r="K20" s="138"/>
      <c r="L20" s="154"/>
      <c r="M20" s="144" t="s">
        <v>44</v>
      </c>
      <c r="N20" s="145">
        <v>45325</v>
      </c>
      <c r="O20" s="161" t="s">
        <v>42</v>
      </c>
    </row>
    <row r="21" spans="1:15" ht="52" thickBot="1" x14ac:dyDescent="0.25">
      <c r="A21" s="74"/>
      <c r="B21" s="138"/>
      <c r="C21" s="138"/>
      <c r="D21" s="139"/>
      <c r="E21" s="140">
        <v>79893979</v>
      </c>
      <c r="F21" s="139">
        <f t="shared" ref="F21:F25" si="1">65%*D21</f>
        <v>0</v>
      </c>
      <c r="G21" s="149">
        <f t="shared" ref="G21:G25" si="2">65%*E21</f>
        <v>51931086.350000001</v>
      </c>
      <c r="H21" s="142">
        <f t="shared" ref="H21:H25" si="3">25%*D21</f>
        <v>0</v>
      </c>
      <c r="I21" s="142">
        <f t="shared" ref="I21:I25" si="4">E21*25%</f>
        <v>19973494.75</v>
      </c>
      <c r="J21" s="142"/>
      <c r="K21" s="142"/>
      <c r="L21" s="154">
        <f t="shared" si="0"/>
        <v>9347595.5429999996</v>
      </c>
      <c r="M21" s="144" t="s">
        <v>63</v>
      </c>
      <c r="N21" s="145">
        <v>45729</v>
      </c>
      <c r="O21" s="161" t="s">
        <v>65</v>
      </c>
    </row>
    <row r="22" spans="1:15" ht="52" thickBot="1" x14ac:dyDescent="0.25">
      <c r="A22" s="74"/>
      <c r="B22" s="138"/>
      <c r="C22" s="138"/>
      <c r="D22" s="139">
        <v>1054659</v>
      </c>
      <c r="E22" s="140"/>
      <c r="F22" s="139">
        <f t="shared" si="1"/>
        <v>685528.35</v>
      </c>
      <c r="G22" s="149">
        <f t="shared" si="2"/>
        <v>0</v>
      </c>
      <c r="H22" s="142">
        <f t="shared" si="3"/>
        <v>263664.75</v>
      </c>
      <c r="I22" s="142">
        <f t="shared" si="4"/>
        <v>0</v>
      </c>
      <c r="J22" s="142"/>
      <c r="K22" s="142"/>
      <c r="L22" s="154">
        <f t="shared" si="0"/>
        <v>0</v>
      </c>
      <c r="M22" s="144" t="s">
        <v>63</v>
      </c>
      <c r="N22" s="145">
        <v>45729</v>
      </c>
      <c r="O22" s="161" t="s">
        <v>64</v>
      </c>
    </row>
    <row r="23" spans="1:15" ht="52" thickBot="1" x14ac:dyDescent="0.25">
      <c r="A23" s="74"/>
      <c r="B23" s="138"/>
      <c r="C23" s="138"/>
      <c r="D23" s="139">
        <v>761793</v>
      </c>
      <c r="E23" s="140"/>
      <c r="F23" s="139">
        <f t="shared" si="1"/>
        <v>495165.45</v>
      </c>
      <c r="G23" s="149">
        <f t="shared" si="2"/>
        <v>0</v>
      </c>
      <c r="H23" s="142">
        <f t="shared" si="3"/>
        <v>190448.25</v>
      </c>
      <c r="I23" s="142">
        <f t="shared" si="4"/>
        <v>0</v>
      </c>
      <c r="J23" s="142"/>
      <c r="K23" s="142"/>
      <c r="L23" s="154">
        <f t="shared" si="0"/>
        <v>0</v>
      </c>
      <c r="M23" s="144" t="s">
        <v>66</v>
      </c>
      <c r="N23" s="145">
        <v>45729</v>
      </c>
      <c r="O23" s="161" t="s">
        <v>64</v>
      </c>
    </row>
    <row r="24" spans="1:15" ht="52" thickBot="1" x14ac:dyDescent="0.25">
      <c r="A24" s="74"/>
      <c r="B24" s="138"/>
      <c r="C24" s="138"/>
      <c r="D24" s="139">
        <v>1236632</v>
      </c>
      <c r="E24" s="151"/>
      <c r="F24" s="139">
        <f t="shared" si="1"/>
        <v>803810.8</v>
      </c>
      <c r="G24" s="149">
        <f t="shared" si="2"/>
        <v>0</v>
      </c>
      <c r="H24" s="142">
        <f t="shared" si="3"/>
        <v>309158</v>
      </c>
      <c r="I24" s="142">
        <f t="shared" si="4"/>
        <v>0</v>
      </c>
      <c r="J24" s="142"/>
      <c r="K24" s="142"/>
      <c r="L24" s="154">
        <f t="shared" si="0"/>
        <v>0</v>
      </c>
      <c r="M24" s="144" t="s">
        <v>67</v>
      </c>
      <c r="N24" s="145">
        <v>45729</v>
      </c>
      <c r="O24" s="161" t="s">
        <v>64</v>
      </c>
    </row>
    <row r="25" spans="1:15" ht="52" thickBot="1" x14ac:dyDescent="0.25">
      <c r="A25" s="97"/>
      <c r="B25" s="138"/>
      <c r="C25" s="138"/>
      <c r="D25" s="139">
        <v>1040509</v>
      </c>
      <c r="E25" s="151"/>
      <c r="F25" s="139">
        <f t="shared" si="1"/>
        <v>676330.85</v>
      </c>
      <c r="G25" s="149">
        <f t="shared" si="2"/>
        <v>0</v>
      </c>
      <c r="H25" s="142">
        <f t="shared" si="3"/>
        <v>260127.25</v>
      </c>
      <c r="I25" s="142">
        <f t="shared" si="4"/>
        <v>0</v>
      </c>
      <c r="J25" s="142"/>
      <c r="K25" s="142"/>
      <c r="L25" s="154">
        <f t="shared" si="0"/>
        <v>0</v>
      </c>
      <c r="M25" s="144" t="s">
        <v>68</v>
      </c>
      <c r="N25" s="145">
        <v>45729</v>
      </c>
      <c r="O25" s="161" t="s">
        <v>64</v>
      </c>
    </row>
    <row r="26" spans="1:15" ht="52" thickBot="1" x14ac:dyDescent="0.25">
      <c r="A26" s="74"/>
      <c r="B26" s="138"/>
      <c r="C26" s="162"/>
      <c r="D26" s="139"/>
      <c r="E26" s="140">
        <f>43474424+85126917</f>
        <v>128601341</v>
      </c>
      <c r="F26" s="139">
        <f t="shared" ref="F26" si="5">65%*D26</f>
        <v>0</v>
      </c>
      <c r="G26" s="149">
        <f t="shared" ref="G26" si="6">65%*E26</f>
        <v>83590871.650000006</v>
      </c>
      <c r="H26" s="142">
        <f t="shared" ref="H26" si="7">25%*D26</f>
        <v>0</v>
      </c>
      <c r="I26" s="142">
        <f t="shared" ref="I26" si="8">E26*25%</f>
        <v>32150335.25</v>
      </c>
      <c r="J26" s="142"/>
      <c r="K26" s="142"/>
      <c r="L26" s="154">
        <f>28258376*18%</f>
        <v>5086507.68</v>
      </c>
      <c r="M26" s="144" t="s">
        <v>73</v>
      </c>
      <c r="N26" s="145">
        <v>45769</v>
      </c>
      <c r="O26" s="161" t="s">
        <v>70</v>
      </c>
    </row>
    <row r="27" spans="1:15" ht="52" thickBot="1" x14ac:dyDescent="0.25">
      <c r="A27" s="74"/>
      <c r="B27" s="138"/>
      <c r="C27" s="162"/>
      <c r="D27" s="139"/>
      <c r="E27" s="140">
        <f>187072427+62895506</f>
        <v>249967933</v>
      </c>
      <c r="F27" s="139">
        <f t="shared" ref="F27" si="9">65%*D27</f>
        <v>0</v>
      </c>
      <c r="G27" s="149">
        <f t="shared" ref="G27" si="10">65%*E27</f>
        <v>162479156.45000002</v>
      </c>
      <c r="H27" s="142">
        <f t="shared" ref="H27" si="11">25%*D27</f>
        <v>0</v>
      </c>
      <c r="I27" s="142">
        <f t="shared" ref="I27" si="12">E27*25%</f>
        <v>62491983.25</v>
      </c>
      <c r="J27" s="142"/>
      <c r="K27" s="142"/>
      <c r="L27" s="154">
        <v>7358774</v>
      </c>
      <c r="M27" s="144" t="s">
        <v>74</v>
      </c>
      <c r="N27" s="145">
        <v>45769</v>
      </c>
      <c r="O27" s="161" t="s">
        <v>70</v>
      </c>
    </row>
    <row r="28" spans="1:15" ht="52" thickBot="1" x14ac:dyDescent="0.25">
      <c r="A28" s="74"/>
      <c r="B28" s="138"/>
      <c r="C28" s="162"/>
      <c r="D28" s="140">
        <v>678404</v>
      </c>
      <c r="E28" s="140"/>
      <c r="F28" s="140">
        <f>D28*65%</f>
        <v>440962.60000000003</v>
      </c>
      <c r="G28" s="140"/>
      <c r="H28" s="140">
        <f>25%*D28</f>
        <v>169601</v>
      </c>
      <c r="I28" s="140"/>
      <c r="J28" s="148"/>
      <c r="K28" s="148"/>
      <c r="L28" s="148"/>
      <c r="M28" s="150" t="s">
        <v>79</v>
      </c>
      <c r="N28" s="163">
        <v>45827</v>
      </c>
      <c r="O28" s="164" t="s">
        <v>76</v>
      </c>
    </row>
    <row r="29" spans="1:15" ht="69" thickBot="1" x14ac:dyDescent="0.25">
      <c r="A29" s="97"/>
      <c r="B29" s="138"/>
      <c r="C29" s="162"/>
      <c r="D29" s="138"/>
      <c r="E29" s="138">
        <v>82745997</v>
      </c>
      <c r="F29" s="140">
        <f t="shared" ref="F29:F31" si="13">D29*65%</f>
        <v>0</v>
      </c>
      <c r="G29" s="149">
        <f>65%*E29</f>
        <v>53784898.050000004</v>
      </c>
      <c r="H29" s="140">
        <f t="shared" ref="H29:H32" si="14">25%*D29</f>
        <v>0</v>
      </c>
      <c r="I29" s="149">
        <f>25%*E29</f>
        <v>20686499.25</v>
      </c>
      <c r="J29" s="138"/>
      <c r="K29" s="138"/>
      <c r="L29" s="148">
        <f>18%*G29</f>
        <v>9681281.6490000002</v>
      </c>
      <c r="M29" s="150" t="s">
        <v>80</v>
      </c>
      <c r="N29" s="163">
        <v>45827</v>
      </c>
      <c r="O29" s="164" t="s">
        <v>78</v>
      </c>
    </row>
    <row r="30" spans="1:15" s="127" customFormat="1" ht="69" thickBot="1" x14ac:dyDescent="0.25">
      <c r="A30" s="128"/>
      <c r="B30" s="162"/>
      <c r="C30" s="162"/>
      <c r="D30" s="162"/>
      <c r="E30" s="138">
        <v>207823925</v>
      </c>
      <c r="F30" s="140">
        <f t="shared" si="13"/>
        <v>0</v>
      </c>
      <c r="G30" s="149">
        <f>65%*E30</f>
        <v>135085551.25</v>
      </c>
      <c r="H30" s="140">
        <f t="shared" si="14"/>
        <v>0</v>
      </c>
      <c r="I30" s="149">
        <f t="shared" ref="I30:I31" si="15">25%*E30</f>
        <v>51955981.25</v>
      </c>
      <c r="J30" s="138"/>
      <c r="K30" s="138"/>
      <c r="L30" s="148">
        <f>18%*G30</f>
        <v>24315399.224999998</v>
      </c>
      <c r="M30" s="150" t="s">
        <v>81</v>
      </c>
      <c r="N30" s="163">
        <v>45855</v>
      </c>
      <c r="O30" s="164" t="s">
        <v>78</v>
      </c>
    </row>
    <row r="31" spans="1:15" s="127" customFormat="1" ht="52" thickBot="1" x14ac:dyDescent="0.25">
      <c r="A31" s="129"/>
      <c r="B31" s="162"/>
      <c r="C31" s="162"/>
      <c r="D31" s="148">
        <v>3565128</v>
      </c>
      <c r="E31" s="138"/>
      <c r="F31" s="140">
        <f t="shared" si="13"/>
        <v>2317333.2000000002</v>
      </c>
      <c r="G31" s="149">
        <f t="shared" ref="G31" si="16">65%*E31</f>
        <v>0</v>
      </c>
      <c r="H31" s="140">
        <f t="shared" si="14"/>
        <v>891282</v>
      </c>
      <c r="I31" s="149">
        <f t="shared" si="15"/>
        <v>0</v>
      </c>
      <c r="J31" s="138"/>
      <c r="K31" s="138"/>
      <c r="L31" s="148">
        <f t="shared" ref="L31" si="17">18%*G31</f>
        <v>0</v>
      </c>
      <c r="M31" s="150" t="s">
        <v>87</v>
      </c>
      <c r="N31" s="163">
        <v>45898</v>
      </c>
      <c r="O31" s="161" t="s">
        <v>76</v>
      </c>
    </row>
    <row r="32" spans="1:15" ht="86" thickBot="1" x14ac:dyDescent="0.25">
      <c r="A32" s="97"/>
      <c r="B32" s="138"/>
      <c r="C32" s="138"/>
      <c r="D32" s="138"/>
      <c r="E32" s="148">
        <f>51731360+19181783</f>
        <v>70913143</v>
      </c>
      <c r="F32" s="140">
        <f t="shared" ref="F32" si="18">D32*65%</f>
        <v>0</v>
      </c>
      <c r="G32" s="149">
        <f t="shared" ref="G32" si="19">65%*E32</f>
        <v>46093542.950000003</v>
      </c>
      <c r="H32" s="140">
        <f t="shared" si="14"/>
        <v>0</v>
      </c>
      <c r="I32" s="149">
        <f t="shared" ref="I32" si="20">25%*E32</f>
        <v>17728285.75</v>
      </c>
      <c r="J32" s="138"/>
      <c r="K32" s="138"/>
      <c r="L32" s="148">
        <f t="shared" ref="L32" si="21">18%*G32</f>
        <v>8296837.7310000006</v>
      </c>
      <c r="M32" s="150" t="s">
        <v>88</v>
      </c>
      <c r="N32" s="163">
        <v>45898</v>
      </c>
      <c r="O32" s="161" t="s">
        <v>86</v>
      </c>
    </row>
    <row r="33" spans="1:15" ht="52" thickBot="1" x14ac:dyDescent="0.25">
      <c r="A33" s="74"/>
      <c r="B33" s="138"/>
      <c r="C33" s="138"/>
      <c r="D33" s="138">
        <v>729301</v>
      </c>
      <c r="E33" s="148"/>
      <c r="F33" s="140">
        <f t="shared" ref="F33:F36" si="22">D33*65%</f>
        <v>474045.65</v>
      </c>
      <c r="G33" s="149">
        <f t="shared" ref="G33:G36" si="23">65%*E33</f>
        <v>0</v>
      </c>
      <c r="H33" s="140">
        <f t="shared" ref="H33:H36" si="24">25%*D33</f>
        <v>182325.25</v>
      </c>
      <c r="I33" s="149">
        <f t="shared" ref="I33:I36" si="25">25%*E33</f>
        <v>0</v>
      </c>
      <c r="J33" s="138"/>
      <c r="K33" s="138"/>
      <c r="L33" s="148">
        <f t="shared" ref="L33:L36" si="26">18%*G33</f>
        <v>0</v>
      </c>
      <c r="M33" s="144" t="s">
        <v>92</v>
      </c>
      <c r="N33" s="145">
        <v>45911</v>
      </c>
      <c r="O33" s="161" t="s">
        <v>76</v>
      </c>
    </row>
    <row r="34" spans="1:15" ht="69" thickBot="1" x14ac:dyDescent="0.25">
      <c r="A34" s="75"/>
      <c r="B34" s="138"/>
      <c r="C34" s="138"/>
      <c r="D34" s="138"/>
      <c r="E34" s="148">
        <v>87091310</v>
      </c>
      <c r="F34" s="151">
        <f t="shared" si="22"/>
        <v>0</v>
      </c>
      <c r="G34" s="149">
        <f t="shared" si="23"/>
        <v>56609351.5</v>
      </c>
      <c r="H34" s="140">
        <f t="shared" si="24"/>
        <v>0</v>
      </c>
      <c r="I34" s="149">
        <f t="shared" si="25"/>
        <v>21772827.5</v>
      </c>
      <c r="J34" s="138"/>
      <c r="K34" s="138"/>
      <c r="L34" s="148">
        <f t="shared" si="26"/>
        <v>10189683.27</v>
      </c>
      <c r="M34" s="144" t="s">
        <v>93</v>
      </c>
      <c r="N34" s="145">
        <v>45911</v>
      </c>
      <c r="O34" s="161" t="s">
        <v>89</v>
      </c>
    </row>
    <row r="35" spans="1:15" ht="69" thickBot="1" x14ac:dyDescent="0.25">
      <c r="A35" s="97"/>
      <c r="B35" s="138"/>
      <c r="C35" s="138"/>
      <c r="D35" s="138"/>
      <c r="E35" s="148">
        <v>24327838</v>
      </c>
      <c r="F35" s="140">
        <f t="shared" si="22"/>
        <v>0</v>
      </c>
      <c r="G35" s="141">
        <f t="shared" si="23"/>
        <v>15813094.700000001</v>
      </c>
      <c r="H35" s="140">
        <f t="shared" si="24"/>
        <v>0</v>
      </c>
      <c r="I35" s="149">
        <f t="shared" si="25"/>
        <v>6081959.5</v>
      </c>
      <c r="J35" s="138"/>
      <c r="K35" s="138"/>
      <c r="L35" s="148">
        <f t="shared" si="26"/>
        <v>2846357.0460000001</v>
      </c>
      <c r="M35" s="150" t="s">
        <v>99</v>
      </c>
      <c r="N35" s="163">
        <v>45974</v>
      </c>
      <c r="O35" s="161" t="s">
        <v>78</v>
      </c>
    </row>
    <row r="36" spans="1:15" ht="52" thickBot="1" x14ac:dyDescent="0.25">
      <c r="A36" s="97"/>
      <c r="B36" s="138"/>
      <c r="C36" s="138"/>
      <c r="D36" s="138">
        <v>674675</v>
      </c>
      <c r="E36" s="148"/>
      <c r="F36" s="151">
        <f t="shared" si="22"/>
        <v>438538.75</v>
      </c>
      <c r="G36" s="141">
        <f t="shared" si="23"/>
        <v>0</v>
      </c>
      <c r="H36" s="140">
        <f t="shared" si="24"/>
        <v>168668.75</v>
      </c>
      <c r="I36" s="149">
        <f t="shared" si="25"/>
        <v>0</v>
      </c>
      <c r="J36" s="138"/>
      <c r="K36" s="138"/>
      <c r="L36" s="148">
        <f t="shared" si="26"/>
        <v>0</v>
      </c>
      <c r="M36" s="144" t="s">
        <v>100</v>
      </c>
      <c r="N36" s="145">
        <v>45974</v>
      </c>
      <c r="O36" s="161" t="s">
        <v>76</v>
      </c>
    </row>
    <row r="37" spans="1:15" ht="69" thickBot="1" x14ac:dyDescent="0.25">
      <c r="A37" s="147"/>
      <c r="B37" s="138"/>
      <c r="C37" s="138"/>
      <c r="D37" s="138"/>
      <c r="E37" s="148">
        <v>75125207</v>
      </c>
      <c r="F37" s="140">
        <f t="shared" ref="F37" si="27">D37*65%</f>
        <v>0</v>
      </c>
      <c r="G37" s="141">
        <f t="shared" ref="G37:G41" si="28">65%*E37</f>
        <v>48831384.550000004</v>
      </c>
      <c r="H37" s="140">
        <f t="shared" ref="H37" si="29">25%*D37</f>
        <v>0</v>
      </c>
      <c r="I37" s="149">
        <f t="shared" ref="I37" si="30">25%*E37</f>
        <v>18781301.75</v>
      </c>
      <c r="J37" s="138"/>
      <c r="K37" s="138"/>
      <c r="L37" s="148">
        <f t="shared" ref="L37" si="31">18%*G37</f>
        <v>8789649.2190000005</v>
      </c>
      <c r="M37" s="150" t="s">
        <v>101</v>
      </c>
      <c r="N37" s="163">
        <v>45974</v>
      </c>
      <c r="O37" s="161" t="s">
        <v>78</v>
      </c>
    </row>
    <row r="38" spans="1:15" ht="52" thickBot="1" x14ac:dyDescent="0.25">
      <c r="A38" s="147"/>
      <c r="B38" s="138"/>
      <c r="C38" s="138"/>
      <c r="D38" s="138">
        <v>373555</v>
      </c>
      <c r="E38" s="148"/>
      <c r="F38" s="151">
        <f t="shared" ref="F38:F40" si="32">D38*65%</f>
        <v>242810.75</v>
      </c>
      <c r="G38" s="141">
        <f t="shared" si="28"/>
        <v>0</v>
      </c>
      <c r="H38" s="140">
        <f t="shared" ref="H38:H40" si="33">25%*D38</f>
        <v>93388.75</v>
      </c>
      <c r="I38" s="149">
        <f t="shared" ref="I38:I39" si="34">25%*E38</f>
        <v>0</v>
      </c>
      <c r="J38" s="138"/>
      <c r="K38" s="138"/>
      <c r="L38" s="148">
        <f t="shared" ref="L38" si="35">18%*G38</f>
        <v>0</v>
      </c>
      <c r="M38" s="144" t="s">
        <v>102</v>
      </c>
      <c r="N38" s="145">
        <v>45974</v>
      </c>
      <c r="O38" s="161" t="s">
        <v>76</v>
      </c>
    </row>
    <row r="39" spans="1:15" ht="56" customHeight="1" thickBot="1" x14ac:dyDescent="0.25">
      <c r="A39" s="147"/>
      <c r="B39" s="138"/>
      <c r="C39" s="138"/>
      <c r="D39" s="138">
        <v>1840</v>
      </c>
      <c r="E39" s="152"/>
      <c r="F39" s="151">
        <f t="shared" si="32"/>
        <v>1196</v>
      </c>
      <c r="G39" s="141">
        <f t="shared" si="28"/>
        <v>0</v>
      </c>
      <c r="H39" s="140">
        <f t="shared" si="33"/>
        <v>460</v>
      </c>
      <c r="I39" s="149">
        <f t="shared" si="34"/>
        <v>0</v>
      </c>
      <c r="J39" s="138"/>
      <c r="K39" s="138"/>
      <c r="L39" s="152"/>
      <c r="M39" s="144" t="s">
        <v>103</v>
      </c>
      <c r="N39" s="145">
        <v>46002</v>
      </c>
      <c r="O39" s="161" t="s">
        <v>76</v>
      </c>
    </row>
    <row r="40" spans="1:15" ht="69" thickBot="1" x14ac:dyDescent="0.25">
      <c r="A40" s="147"/>
      <c r="B40" s="138"/>
      <c r="C40" s="138"/>
      <c r="D40" s="138"/>
      <c r="E40" s="148">
        <v>167360880</v>
      </c>
      <c r="F40" s="151">
        <f t="shared" si="32"/>
        <v>0</v>
      </c>
      <c r="G40" s="141">
        <f t="shared" si="28"/>
        <v>108784572</v>
      </c>
      <c r="H40" s="140">
        <f t="shared" si="33"/>
        <v>0</v>
      </c>
      <c r="I40" s="149">
        <f>25%*E40</f>
        <v>41840220</v>
      </c>
      <c r="J40" s="138"/>
      <c r="K40" s="138"/>
      <c r="L40" s="148">
        <f>18%*G40</f>
        <v>19581222.960000001</v>
      </c>
      <c r="M40" s="144" t="s">
        <v>104</v>
      </c>
      <c r="N40" s="145">
        <v>46002</v>
      </c>
      <c r="O40" s="161" t="s">
        <v>78</v>
      </c>
    </row>
    <row r="41" spans="1:15" ht="69" thickBot="1" x14ac:dyDescent="0.25">
      <c r="A41" s="167"/>
      <c r="B41" s="168"/>
      <c r="C41" s="168"/>
      <c r="D41" s="168"/>
      <c r="E41" s="169">
        <v>102988189</v>
      </c>
      <c r="F41" s="170"/>
      <c r="G41" s="171">
        <f t="shared" si="28"/>
        <v>66942322.850000001</v>
      </c>
      <c r="H41" s="172"/>
      <c r="I41" s="149">
        <f t="shared" ref="I41:I45" si="36">25%*E41</f>
        <v>25747047.25</v>
      </c>
      <c r="J41" s="168"/>
      <c r="K41" s="168"/>
      <c r="L41" s="169">
        <f>18%*G41</f>
        <v>12049618.113</v>
      </c>
      <c r="M41" s="173" t="s">
        <v>105</v>
      </c>
      <c r="N41" s="174">
        <v>46071</v>
      </c>
      <c r="O41" s="175" t="s">
        <v>78</v>
      </c>
    </row>
    <row r="42" spans="1:15" ht="69" thickBot="1" x14ac:dyDescent="0.25">
      <c r="A42" s="167"/>
      <c r="B42" s="168"/>
      <c r="C42" s="168"/>
      <c r="D42" s="168"/>
      <c r="E42" s="169">
        <f>54762967+74990587</f>
        <v>129753554</v>
      </c>
      <c r="F42" s="170"/>
      <c r="G42" s="171">
        <f t="shared" ref="G42:G45" si="37">65%*E42</f>
        <v>84339810.100000009</v>
      </c>
      <c r="H42" s="172"/>
      <c r="I42" s="149">
        <f t="shared" si="36"/>
        <v>32438388.5</v>
      </c>
      <c r="J42" s="168"/>
      <c r="K42" s="168"/>
      <c r="L42" s="169">
        <f>18%*G42</f>
        <v>15181165.818000002</v>
      </c>
      <c r="M42" s="173" t="s">
        <v>105</v>
      </c>
      <c r="N42" s="174">
        <v>46071</v>
      </c>
      <c r="O42" s="175" t="s">
        <v>78</v>
      </c>
    </row>
    <row r="43" spans="1:15" ht="69" thickBot="1" x14ac:dyDescent="0.25">
      <c r="A43" s="184"/>
      <c r="B43" s="185"/>
      <c r="C43" s="185"/>
      <c r="D43" s="185"/>
      <c r="E43" s="148">
        <f>352784033+2679472</f>
        <v>355463505</v>
      </c>
      <c r="F43" s="187"/>
      <c r="G43" s="149">
        <f t="shared" ref="G43:G44" si="38">65%*E43</f>
        <v>231051278.25</v>
      </c>
      <c r="H43" s="187"/>
      <c r="I43" s="149">
        <f t="shared" ref="I43:I44" si="39">25%*E43</f>
        <v>88865876.25</v>
      </c>
      <c r="J43" s="185"/>
      <c r="K43" s="185"/>
      <c r="L43" s="148">
        <f>18%*G43</f>
        <v>41589230.085000001</v>
      </c>
      <c r="M43" s="153" t="s">
        <v>108</v>
      </c>
      <c r="N43" s="165">
        <v>46106</v>
      </c>
      <c r="O43" s="166" t="s">
        <v>109</v>
      </c>
    </row>
    <row r="44" spans="1:15" ht="69" thickBot="1" x14ac:dyDescent="0.25">
      <c r="A44" s="184"/>
      <c r="B44" s="185"/>
      <c r="C44" s="185"/>
      <c r="D44" s="185"/>
      <c r="E44" s="190">
        <f>35784125+137017216</f>
        <v>172801341</v>
      </c>
      <c r="F44" s="186"/>
      <c r="G44" s="141">
        <f t="shared" si="38"/>
        <v>112320871.65000001</v>
      </c>
      <c r="H44" s="187"/>
      <c r="I44" s="141">
        <f t="shared" si="39"/>
        <v>43200335.25</v>
      </c>
      <c r="J44" s="185"/>
      <c r="K44" s="185"/>
      <c r="L44" s="190">
        <f>18%*G44</f>
        <v>20217756.897</v>
      </c>
      <c r="M44" s="153" t="s">
        <v>111</v>
      </c>
      <c r="N44" s="165">
        <v>46160</v>
      </c>
      <c r="O44" s="166" t="s">
        <v>109</v>
      </c>
    </row>
    <row r="45" spans="1:15" ht="17" thickBot="1" x14ac:dyDescent="0.25">
      <c r="A45" s="184"/>
      <c r="B45" s="185"/>
      <c r="C45" s="185"/>
      <c r="D45" s="185"/>
      <c r="E45" s="190"/>
      <c r="F45" s="186"/>
      <c r="G45" s="141"/>
      <c r="H45" s="187"/>
      <c r="I45" s="141"/>
      <c r="J45" s="185"/>
      <c r="K45" s="185"/>
      <c r="L45" s="190"/>
      <c r="M45" s="153"/>
      <c r="N45" s="165"/>
      <c r="O45" s="166"/>
    </row>
    <row r="46" spans="1:15" ht="17" thickBot="1" x14ac:dyDescent="0.25"/>
    <row r="47" spans="1:15" ht="14.5" customHeight="1" x14ac:dyDescent="0.2">
      <c r="B47" s="197" t="s">
        <v>16</v>
      </c>
      <c r="C47" s="198"/>
      <c r="D47" s="198"/>
      <c r="E47" s="199"/>
      <c r="F47" s="193">
        <f>SUM(F13:F46)</f>
        <v>19031032.349999998</v>
      </c>
      <c r="G47" s="56"/>
    </row>
    <row r="48" spans="1:15" ht="17" thickBot="1" x14ac:dyDescent="0.25">
      <c r="B48" s="200"/>
      <c r="C48" s="201"/>
      <c r="D48" s="201"/>
      <c r="E48" s="202"/>
      <c r="F48" s="107"/>
      <c r="G48" s="194">
        <f>SUM(G13:G46)</f>
        <v>3969963285.8499994</v>
      </c>
    </row>
    <row r="49" spans="2:9" ht="14.5" customHeight="1" x14ac:dyDescent="0.2">
      <c r="B49" s="197" t="s">
        <v>9</v>
      </c>
      <c r="C49" s="198"/>
      <c r="D49" s="198"/>
      <c r="E49" s="199"/>
      <c r="F49" s="108">
        <f>+F47/B13</f>
        <v>0.7928443224010906</v>
      </c>
      <c r="G49" s="38"/>
    </row>
    <row r="50" spans="2:9" ht="17" thickBot="1" x14ac:dyDescent="0.25">
      <c r="B50" s="200"/>
      <c r="C50" s="201"/>
      <c r="D50" s="201"/>
      <c r="E50" s="202"/>
      <c r="F50" s="109"/>
      <c r="G50" s="39">
        <f>+G48/C14</f>
        <v>0.37786257581040228</v>
      </c>
    </row>
    <row r="51" spans="2:9" ht="19" thickBot="1" x14ac:dyDescent="0.25">
      <c r="B51" s="209" t="s">
        <v>17</v>
      </c>
      <c r="C51" s="210"/>
      <c r="D51" s="210"/>
      <c r="E51" s="211"/>
      <c r="F51" s="195">
        <f>F47*C6+G48</f>
        <v>15630276806.695</v>
      </c>
      <c r="G51" s="196"/>
    </row>
    <row r="52" spans="2:9" ht="14.5" customHeight="1" x14ac:dyDescent="0.2">
      <c r="B52" s="197" t="s">
        <v>18</v>
      </c>
      <c r="C52" s="198"/>
      <c r="D52" s="198"/>
      <c r="E52" s="199"/>
      <c r="F52" s="110">
        <f>B13-F47</f>
        <v>4972459.6500000022</v>
      </c>
      <c r="G52" s="40"/>
      <c r="H52" s="32"/>
      <c r="I52" s="32"/>
    </row>
    <row r="53" spans="2:9" ht="17" thickBot="1" x14ac:dyDescent="0.25">
      <c r="B53" s="200"/>
      <c r="C53" s="201"/>
      <c r="D53" s="201"/>
      <c r="E53" s="202"/>
      <c r="F53" s="111"/>
      <c r="G53" s="41">
        <f>C14-G48</f>
        <v>6536404743.1500006</v>
      </c>
      <c r="H53" s="32"/>
      <c r="I53" s="32"/>
    </row>
    <row r="54" spans="2:9" x14ac:dyDescent="0.2">
      <c r="B54" s="197" t="s">
        <v>54</v>
      </c>
      <c r="C54" s="198"/>
      <c r="D54" s="198"/>
      <c r="E54" s="198"/>
      <c r="F54" s="198"/>
      <c r="G54" s="198"/>
      <c r="H54" s="35">
        <f>D15-SUM(H13:H40)</f>
        <v>989273.25</v>
      </c>
      <c r="I54" s="31"/>
    </row>
    <row r="55" spans="2:9" ht="17" thickBot="1" x14ac:dyDescent="0.25">
      <c r="B55" s="200"/>
      <c r="C55" s="201"/>
      <c r="D55" s="201"/>
      <c r="E55" s="201"/>
      <c r="F55" s="201"/>
      <c r="G55" s="201"/>
      <c r="H55" s="36"/>
      <c r="I55" s="37">
        <f>E16-SUM(I15:I48)</f>
        <v>2109910746.25</v>
      </c>
    </row>
    <row r="58" spans="2:9" x14ac:dyDescent="0.2">
      <c r="H58" s="25" t="s">
        <v>24</v>
      </c>
      <c r="I58" s="25"/>
    </row>
    <row r="66" spans="9:9" x14ac:dyDescent="0.2">
      <c r="I66" s="26"/>
    </row>
  </sheetData>
  <mergeCells count="17">
    <mergeCell ref="A13:A14"/>
    <mergeCell ref="A15:A16"/>
    <mergeCell ref="A17:A18"/>
    <mergeCell ref="B11:C11"/>
    <mergeCell ref="D11:E11"/>
    <mergeCell ref="F51:G51"/>
    <mergeCell ref="B52:E53"/>
    <mergeCell ref="B54:G55"/>
    <mergeCell ref="N11:N12"/>
    <mergeCell ref="O11:O12"/>
    <mergeCell ref="F11:G11"/>
    <mergeCell ref="H11:I11"/>
    <mergeCell ref="J11:K11"/>
    <mergeCell ref="M11:M12"/>
    <mergeCell ref="B47:E48"/>
    <mergeCell ref="B49:E50"/>
    <mergeCell ref="B51:E51"/>
  </mergeCells>
  <phoneticPr fontId="3" type="noConversion"/>
  <pageMargins left="0.25" right="0.25" top="0.75" bottom="0.75" header="0.3" footer="0.3"/>
  <pageSetup paperSize="9" scale="46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2E054CAA181647A3E90D2EBEF94352" ma:contentTypeVersion="11" ma:contentTypeDescription="Crée un document." ma:contentTypeScope="" ma:versionID="1fd0a10384d400b6696781511d82120d">
  <xsd:schema xmlns:xsd="http://www.w3.org/2001/XMLSchema" xmlns:xs="http://www.w3.org/2001/XMLSchema" xmlns:p="http://schemas.microsoft.com/office/2006/metadata/properties" xmlns:ns3="f1edd8dd-ef2a-41ec-84de-e23f916f39f5" xmlns:ns4="b6ab1f57-e748-40ce-b853-58171283c7cf" targetNamespace="http://schemas.microsoft.com/office/2006/metadata/properties" ma:root="true" ma:fieldsID="65741d0ccac34d14674ac32476030725" ns3:_="" ns4:_="">
    <xsd:import namespace="f1edd8dd-ef2a-41ec-84de-e23f916f39f5"/>
    <xsd:import namespace="b6ab1f57-e748-40ce-b853-58171283c7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dd8dd-ef2a-41ec-84de-e23f916f39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b1f57-e748-40ce-b853-58171283c7c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21E57E4-0DF3-40BF-9EE6-0A30E343F4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edd8dd-ef2a-41ec-84de-e23f916f39f5"/>
    <ds:schemaRef ds:uri="b6ab1f57-e748-40ce-b853-58171283c7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AF4813-5C8E-4D1D-A1FC-6C71CEEA4D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EECF9C-37B3-4515-9633-76F647FDFBBC}">
  <ds:schemaRefs>
    <ds:schemaRef ds:uri="http://schemas.microsoft.com/office/2006/metadata/properties"/>
    <ds:schemaRef ds:uri="f1edd8dd-ef2a-41ec-84de-e23f916f39f5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b6ab1f57-e748-40ce-b853-58171283c7cf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RECAP</vt:lpstr>
      <vt:lpstr>LOT1-BEST</vt:lpstr>
      <vt:lpstr>LOT2-BEST</vt:lpstr>
      <vt:lpstr>'LOT1-BEST'!Print_Area</vt:lpstr>
      <vt:lpstr>'LOT2-BEST'!Print_Area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Mpasche NIOUKY</dc:creator>
  <cp:lastModifiedBy>maodo sene</cp:lastModifiedBy>
  <cp:lastPrinted>2025-12-11T12:59:03Z</cp:lastPrinted>
  <dcterms:created xsi:type="dcterms:W3CDTF">2019-12-18T08:41:10Z</dcterms:created>
  <dcterms:modified xsi:type="dcterms:W3CDTF">2026-05-18T11:13:07Z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0x010100B82E054CAA181647A3E90D2EBEF94352</vt:lpwstr>
  </property>
</Properties>
</file>